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J:\All Data\63. EM IG Curves\"/>
    </mc:Choice>
  </mc:AlternateContent>
  <xr:revisionPtr revIDLastSave="0" documentId="13_ncr:1_{1C7E5F68-162D-4AE2-B8CE-677FCC53685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1" l="1"/>
  <c r="C2" i="1"/>
  <c r="D2" i="1"/>
  <c r="E2" i="1"/>
  <c r="C3" i="1"/>
  <c r="E3" i="1" s="1"/>
  <c r="D3" i="1"/>
  <c r="C4" i="1"/>
  <c r="D4" i="1"/>
  <c r="E4" i="1"/>
  <c r="C5" i="1"/>
  <c r="E5" i="1" s="1"/>
  <c r="D5" i="1"/>
  <c r="C6" i="1"/>
  <c r="E6" i="1" s="1"/>
  <c r="D6" i="1"/>
  <c r="C7" i="1"/>
  <c r="E7" i="1" s="1"/>
  <c r="D7" i="1"/>
  <c r="C8" i="1"/>
  <c r="E8" i="1" s="1"/>
  <c r="D8" i="1"/>
  <c r="C9" i="1"/>
  <c r="D9" i="1"/>
  <c r="E9" i="1"/>
  <c r="C10" i="1"/>
  <c r="D10" i="1"/>
  <c r="E10" i="1"/>
  <c r="C11" i="1"/>
  <c r="D11" i="1"/>
  <c r="E11" i="1"/>
  <c r="C12" i="1"/>
  <c r="E12" i="1" s="1"/>
  <c r="D12" i="1"/>
  <c r="C13" i="1"/>
  <c r="D13" i="1"/>
  <c r="E13" i="1" s="1"/>
  <c r="C14" i="1"/>
  <c r="E14" i="1" s="1"/>
  <c r="D14" i="1"/>
  <c r="C15" i="1"/>
  <c r="D15" i="1"/>
  <c r="E15" i="1"/>
  <c r="C16" i="1"/>
  <c r="D16" i="1"/>
  <c r="E16" i="1"/>
  <c r="C17" i="1"/>
  <c r="D17" i="1"/>
  <c r="E17" i="1"/>
  <c r="C18" i="1"/>
  <c r="E18" i="1" s="1"/>
  <c r="D18" i="1"/>
  <c r="C19" i="1"/>
  <c r="E19" i="1" s="1"/>
  <c r="D19" i="1"/>
  <c r="C20" i="1"/>
  <c r="D20" i="1"/>
  <c r="E20" i="1"/>
  <c r="C21" i="1"/>
  <c r="D21" i="1"/>
  <c r="E21" i="1"/>
  <c r="C22" i="1"/>
  <c r="D22" i="1"/>
  <c r="E22" i="1"/>
  <c r="C23" i="1"/>
  <c r="E23" i="1" s="1"/>
  <c r="D23" i="1"/>
  <c r="C24" i="1"/>
  <c r="D24" i="1"/>
  <c r="E24" i="1"/>
  <c r="C25" i="1"/>
  <c r="D25" i="1"/>
  <c r="E25" i="1"/>
  <c r="C26" i="1"/>
  <c r="D26" i="1"/>
  <c r="E26" i="1" s="1"/>
  <c r="C27" i="1"/>
  <c r="E27" i="1" s="1"/>
  <c r="D27" i="1"/>
  <c r="C28" i="1"/>
  <c r="D28" i="1"/>
  <c r="E28" i="1" s="1"/>
  <c r="C29" i="1"/>
  <c r="D29" i="1"/>
  <c r="E29" i="1"/>
  <c r="C30" i="1"/>
  <c r="D30" i="1"/>
  <c r="E30" i="1"/>
  <c r="C31" i="1"/>
  <c r="D31" i="1"/>
  <c r="E31" i="1"/>
  <c r="C32" i="1"/>
  <c r="D32" i="1"/>
  <c r="E32" i="1"/>
  <c r="C33" i="1"/>
  <c r="D33" i="1"/>
  <c r="E33" i="1"/>
  <c r="C34" i="1"/>
  <c r="D34" i="1"/>
  <c r="E34" i="1"/>
  <c r="C35" i="1"/>
  <c r="E35" i="1" s="1"/>
  <c r="D35" i="1"/>
  <c r="C36" i="1"/>
  <c r="D36" i="1"/>
  <c r="E36" i="1"/>
  <c r="C37" i="1"/>
  <c r="D37" i="1"/>
  <c r="E37" i="1" s="1"/>
  <c r="C38" i="1"/>
  <c r="E38" i="1" s="1"/>
  <c r="D38" i="1"/>
  <c r="C39" i="1"/>
  <c r="E39" i="1" s="1"/>
  <c r="D39" i="1"/>
  <c r="C40" i="1"/>
  <c r="E40" i="1" s="1"/>
  <c r="D40" i="1"/>
  <c r="C41" i="1"/>
  <c r="D41" i="1"/>
  <c r="E41" i="1"/>
  <c r="C42" i="1"/>
  <c r="D42" i="1"/>
  <c r="E42" i="1"/>
  <c r="C43" i="1"/>
  <c r="D43" i="1"/>
  <c r="E43" i="1"/>
  <c r="C44" i="1"/>
  <c r="E44" i="1" s="1"/>
  <c r="D44" i="1"/>
  <c r="C45" i="1"/>
  <c r="D45" i="1"/>
  <c r="E45" i="1" s="1"/>
  <c r="C46" i="1"/>
  <c r="E46" i="1" s="1"/>
  <c r="D46" i="1"/>
  <c r="C47" i="1"/>
  <c r="D47" i="1"/>
  <c r="E47" i="1"/>
  <c r="C48" i="1"/>
  <c r="D48" i="1"/>
  <c r="E48" i="1"/>
  <c r="C49" i="1"/>
  <c r="D49" i="1"/>
  <c r="E49" i="1"/>
  <c r="C50" i="1"/>
  <c r="E50" i="1" s="1"/>
  <c r="D50" i="1"/>
  <c r="C51" i="1"/>
  <c r="E51" i="1" s="1"/>
  <c r="D51" i="1"/>
  <c r="C52" i="1"/>
  <c r="D52" i="1"/>
  <c r="E52" i="1"/>
  <c r="C53" i="1"/>
  <c r="D53" i="1"/>
  <c r="E53" i="1"/>
  <c r="C54" i="1"/>
  <c r="D54" i="1"/>
  <c r="E54" i="1"/>
  <c r="C55" i="1"/>
  <c r="E55" i="1" s="1"/>
  <c r="D55" i="1"/>
  <c r="C56" i="1"/>
  <c r="D56" i="1"/>
  <c r="E56" i="1"/>
  <c r="C57" i="1"/>
  <c r="D57" i="1"/>
  <c r="E57" i="1"/>
  <c r="C58" i="1"/>
  <c r="D58" i="1"/>
  <c r="E58" i="1"/>
  <c r="C59" i="1"/>
  <c r="E59" i="1" s="1"/>
  <c r="D59" i="1"/>
  <c r="C60" i="1"/>
  <c r="D60" i="1"/>
  <c r="E60" i="1" s="1"/>
  <c r="C61" i="1"/>
  <c r="D61" i="1"/>
  <c r="E61" i="1"/>
  <c r="C62" i="1"/>
  <c r="D62" i="1"/>
  <c r="E62" i="1"/>
  <c r="C63" i="1"/>
  <c r="D63" i="1"/>
  <c r="E63" i="1"/>
  <c r="C64" i="1"/>
  <c r="D64" i="1"/>
  <c r="E64" i="1"/>
  <c r="C65" i="1"/>
  <c r="D65" i="1"/>
  <c r="E65" i="1"/>
  <c r="C66" i="1"/>
  <c r="D66" i="1"/>
  <c r="E66" i="1"/>
  <c r="C67" i="1"/>
  <c r="E67" i="1" s="1"/>
  <c r="D67" i="1"/>
  <c r="C68" i="1"/>
  <c r="D68" i="1"/>
  <c r="E68" i="1"/>
  <c r="C69" i="1"/>
  <c r="D69" i="1"/>
  <c r="E69" i="1" s="1"/>
  <c r="C70" i="1"/>
  <c r="E70" i="1" s="1"/>
  <c r="D70" i="1"/>
  <c r="C71" i="1"/>
  <c r="E71" i="1" s="1"/>
  <c r="D71" i="1"/>
  <c r="C72" i="1"/>
  <c r="E72" i="1" s="1"/>
  <c r="D72" i="1"/>
  <c r="C73" i="1"/>
  <c r="D73" i="1"/>
  <c r="E73" i="1"/>
  <c r="C74" i="1"/>
  <c r="D74" i="1"/>
  <c r="E74" i="1"/>
  <c r="C75" i="1"/>
  <c r="D75" i="1"/>
  <c r="E75" i="1"/>
  <c r="C76" i="1"/>
  <c r="E76" i="1" s="1"/>
  <c r="D76" i="1"/>
  <c r="C77" i="1"/>
  <c r="D77" i="1"/>
  <c r="E77" i="1" s="1"/>
  <c r="C78" i="1"/>
  <c r="E78" i="1" s="1"/>
  <c r="D78" i="1"/>
  <c r="C79" i="1"/>
  <c r="D79" i="1"/>
  <c r="E79" i="1"/>
  <c r="C80" i="1"/>
  <c r="D80" i="1"/>
  <c r="E80" i="1"/>
  <c r="C81" i="1"/>
  <c r="D81" i="1"/>
  <c r="E81" i="1"/>
  <c r="C82" i="1"/>
  <c r="E82" i="1" s="1"/>
  <c r="D82" i="1"/>
  <c r="C83" i="1"/>
  <c r="E83" i="1" s="1"/>
  <c r="D83" i="1"/>
  <c r="C84" i="1"/>
  <c r="D84" i="1"/>
  <c r="E84" i="1"/>
  <c r="C85" i="1"/>
  <c r="D85" i="1"/>
  <c r="E85" i="1"/>
  <c r="C86" i="1"/>
  <c r="D86" i="1"/>
  <c r="E86" i="1"/>
  <c r="C87" i="1"/>
  <c r="E87" i="1" s="1"/>
  <c r="D87" i="1"/>
  <c r="C88" i="1"/>
  <c r="D88" i="1"/>
  <c r="E88" i="1"/>
  <c r="C89" i="1"/>
  <c r="D89" i="1"/>
  <c r="E89" i="1"/>
  <c r="C90" i="1"/>
  <c r="D90" i="1"/>
  <c r="E90" i="1"/>
  <c r="C91" i="1"/>
  <c r="E91" i="1" s="1"/>
  <c r="D91" i="1"/>
  <c r="C92" i="1"/>
  <c r="D92" i="1"/>
  <c r="E92" i="1" s="1"/>
  <c r="C93" i="1"/>
  <c r="D93" i="1"/>
  <c r="E93" i="1"/>
  <c r="C94" i="1"/>
  <c r="D94" i="1"/>
  <c r="E94" i="1"/>
  <c r="C95" i="1"/>
  <c r="D95" i="1"/>
  <c r="E95" i="1"/>
  <c r="C96" i="1"/>
  <c r="D96" i="1"/>
  <c r="E96" i="1"/>
  <c r="C97" i="1"/>
  <c r="D97" i="1"/>
  <c r="E97" i="1"/>
  <c r="C98" i="1"/>
  <c r="D98" i="1"/>
  <c r="E98" i="1"/>
  <c r="C99" i="1"/>
  <c r="E99" i="1" s="1"/>
  <c r="D99" i="1"/>
  <c r="C100" i="1"/>
  <c r="D100" i="1"/>
  <c r="E100" i="1"/>
  <c r="C101" i="1"/>
  <c r="D101" i="1"/>
  <c r="E101" i="1" s="1"/>
  <c r="C102" i="1"/>
  <c r="E102" i="1" s="1"/>
  <c r="D102" i="1"/>
  <c r="C103" i="1"/>
  <c r="E103" i="1" s="1"/>
  <c r="D103" i="1"/>
  <c r="C104" i="1"/>
  <c r="E104" i="1" s="1"/>
  <c r="D104" i="1"/>
  <c r="C105" i="1"/>
  <c r="D105" i="1"/>
  <c r="E105" i="1"/>
  <c r="C106" i="1"/>
  <c r="D106" i="1"/>
  <c r="E106" i="1"/>
  <c r="C107" i="1"/>
  <c r="D107" i="1"/>
  <c r="E107" i="1"/>
  <c r="C108" i="1"/>
  <c r="E108" i="1" s="1"/>
  <c r="D108" i="1"/>
  <c r="C109" i="1"/>
  <c r="D109" i="1"/>
  <c r="E109" i="1" s="1"/>
  <c r="C110" i="1"/>
  <c r="E110" i="1" s="1"/>
  <c r="D110" i="1"/>
  <c r="C111" i="1"/>
  <c r="D111" i="1"/>
  <c r="E111" i="1"/>
  <c r="C112" i="1"/>
  <c r="D112" i="1"/>
  <c r="E112" i="1"/>
  <c r="C113" i="1"/>
  <c r="D113" i="1"/>
  <c r="E113" i="1"/>
  <c r="C114" i="1"/>
  <c r="E114" i="1" s="1"/>
  <c r="D114" i="1"/>
  <c r="C115" i="1"/>
  <c r="E115" i="1" s="1"/>
  <c r="D115" i="1"/>
  <c r="C116" i="1"/>
  <c r="D116" i="1"/>
  <c r="E116" i="1"/>
  <c r="C117" i="1"/>
  <c r="D117" i="1"/>
  <c r="E117" i="1"/>
  <c r="C118" i="1"/>
  <c r="D118" i="1"/>
  <c r="E118" i="1"/>
  <c r="C119" i="1"/>
  <c r="E119" i="1" s="1"/>
  <c r="D119" i="1"/>
  <c r="C120" i="1"/>
  <c r="D120" i="1"/>
  <c r="E120" i="1"/>
  <c r="C121" i="1"/>
  <c r="D121" i="1"/>
  <c r="E121" i="1"/>
  <c r="C122" i="1"/>
  <c r="D122" i="1"/>
  <c r="E122" i="1"/>
  <c r="C123" i="1"/>
  <c r="E123" i="1" s="1"/>
  <c r="D123" i="1"/>
  <c r="C124" i="1"/>
  <c r="D124" i="1"/>
  <c r="E124" i="1" s="1"/>
  <c r="C125" i="1"/>
  <c r="D125" i="1"/>
  <c r="E125" i="1"/>
  <c r="C126" i="1"/>
  <c r="D126" i="1"/>
  <c r="E126" i="1"/>
  <c r="C127" i="1"/>
  <c r="D127" i="1"/>
  <c r="E127" i="1"/>
  <c r="C128" i="1"/>
  <c r="D128" i="1"/>
  <c r="E128" i="1"/>
  <c r="C129" i="1"/>
  <c r="D129" i="1"/>
  <c r="E129" i="1"/>
  <c r="C130" i="1"/>
  <c r="D130" i="1"/>
  <c r="E130" i="1"/>
  <c r="C131" i="1"/>
  <c r="E131" i="1" s="1"/>
  <c r="D131" i="1"/>
  <c r="C132" i="1"/>
  <c r="D132" i="1"/>
  <c r="E132" i="1"/>
  <c r="C133" i="1"/>
  <c r="D133" i="1"/>
  <c r="E133" i="1" s="1"/>
  <c r="C134" i="1"/>
  <c r="E134" i="1" s="1"/>
  <c r="D134" i="1"/>
  <c r="C135" i="1"/>
  <c r="E135" i="1" s="1"/>
  <c r="D135" i="1"/>
  <c r="C136" i="1"/>
  <c r="E136" i="1" s="1"/>
  <c r="D136" i="1"/>
  <c r="C137" i="1"/>
  <c r="D137" i="1"/>
  <c r="E137" i="1"/>
  <c r="C138" i="1"/>
  <c r="D138" i="1"/>
  <c r="E138" i="1"/>
  <c r="C139" i="1"/>
  <c r="D139" i="1"/>
  <c r="E139" i="1"/>
  <c r="C140" i="1"/>
  <c r="E140" i="1" s="1"/>
  <c r="D140" i="1"/>
  <c r="C141" i="1"/>
  <c r="D141" i="1"/>
  <c r="E141" i="1" s="1"/>
  <c r="C142" i="1"/>
  <c r="E142" i="1" s="1"/>
  <c r="D142" i="1"/>
  <c r="C143" i="1"/>
  <c r="D143" i="1"/>
  <c r="E143" i="1"/>
  <c r="C144" i="1"/>
  <c r="D144" i="1"/>
  <c r="E144" i="1"/>
  <c r="C145" i="1"/>
  <c r="D145" i="1"/>
  <c r="E145" i="1"/>
  <c r="C146" i="1"/>
  <c r="E146" i="1" s="1"/>
  <c r="D146" i="1"/>
  <c r="C147" i="1"/>
  <c r="E147" i="1" s="1"/>
  <c r="D147" i="1"/>
  <c r="C148" i="1"/>
  <c r="D148" i="1"/>
  <c r="E148" i="1"/>
  <c r="C149" i="1"/>
  <c r="D149" i="1"/>
  <c r="E149" i="1"/>
  <c r="C150" i="1"/>
  <c r="D150" i="1"/>
  <c r="E150" i="1"/>
  <c r="C151" i="1"/>
  <c r="E151" i="1" s="1"/>
  <c r="D151" i="1"/>
  <c r="C152" i="1"/>
  <c r="D152" i="1"/>
  <c r="E152" i="1"/>
  <c r="C153" i="1"/>
  <c r="D153" i="1"/>
  <c r="E153" i="1"/>
  <c r="C154" i="1"/>
  <c r="D154" i="1"/>
  <c r="E154" i="1"/>
  <c r="C155" i="1"/>
  <c r="E155" i="1" s="1"/>
  <c r="D155" i="1"/>
  <c r="C156" i="1"/>
  <c r="D156" i="1"/>
  <c r="E156" i="1" s="1"/>
  <c r="C157" i="1"/>
  <c r="D157" i="1"/>
  <c r="E157" i="1"/>
  <c r="C158" i="1"/>
  <c r="D158" i="1"/>
  <c r="E158" i="1"/>
  <c r="C159" i="1"/>
  <c r="D159" i="1"/>
  <c r="E159" i="1"/>
  <c r="C160" i="1"/>
  <c r="D160" i="1"/>
  <c r="E160" i="1"/>
  <c r="C161" i="1"/>
  <c r="D161" i="1"/>
  <c r="E161" i="1"/>
  <c r="C162" i="1"/>
  <c r="D162" i="1"/>
  <c r="E162" i="1"/>
  <c r="C163" i="1"/>
  <c r="E163" i="1" s="1"/>
  <c r="D163" i="1"/>
  <c r="C164" i="1"/>
  <c r="D164" i="1"/>
  <c r="E164" i="1"/>
  <c r="C165" i="1"/>
  <c r="D165" i="1"/>
  <c r="E165" i="1" s="1"/>
  <c r="C166" i="1"/>
  <c r="E166" i="1" s="1"/>
  <c r="D166" i="1"/>
  <c r="C167" i="1"/>
  <c r="E167" i="1" s="1"/>
  <c r="D167" i="1"/>
  <c r="C168" i="1"/>
  <c r="E168" i="1" s="1"/>
  <c r="D168" i="1"/>
  <c r="C169" i="1"/>
  <c r="D169" i="1"/>
  <c r="E169" i="1"/>
  <c r="C170" i="1"/>
  <c r="D170" i="1"/>
  <c r="E170" i="1"/>
  <c r="C171" i="1"/>
  <c r="D171" i="1"/>
  <c r="E171" i="1"/>
  <c r="C172" i="1"/>
  <c r="E172" i="1" s="1"/>
  <c r="D172" i="1"/>
  <c r="C173" i="1"/>
  <c r="D173" i="1"/>
  <c r="E173" i="1" s="1"/>
  <c r="C174" i="1"/>
  <c r="E174" i="1" s="1"/>
  <c r="D174" i="1"/>
  <c r="C175" i="1"/>
  <c r="D175" i="1"/>
  <c r="E175" i="1"/>
  <c r="C176" i="1"/>
  <c r="D176" i="1"/>
  <c r="E176" i="1"/>
  <c r="C177" i="1"/>
  <c r="D177" i="1"/>
  <c r="E177" i="1"/>
  <c r="C178" i="1"/>
  <c r="E178" i="1" s="1"/>
  <c r="D178" i="1"/>
  <c r="C179" i="1"/>
  <c r="E179" i="1" s="1"/>
  <c r="D179" i="1"/>
  <c r="C180" i="1"/>
  <c r="D180" i="1"/>
  <c r="E180" i="1"/>
  <c r="C181" i="1"/>
  <c r="D181" i="1"/>
  <c r="E181" i="1"/>
  <c r="C182" i="1"/>
  <c r="D182" i="1"/>
  <c r="E182" i="1"/>
  <c r="C183" i="1"/>
  <c r="E183" i="1" s="1"/>
  <c r="D183" i="1"/>
  <c r="C184" i="1"/>
  <c r="D184" i="1"/>
  <c r="E184" i="1"/>
  <c r="C185" i="1"/>
  <c r="D185" i="1"/>
  <c r="E185" i="1"/>
  <c r="C186" i="1"/>
  <c r="D186" i="1"/>
  <c r="E186" i="1"/>
  <c r="C187" i="1"/>
  <c r="E187" i="1" s="1"/>
  <c r="D187" i="1"/>
  <c r="C188" i="1"/>
  <c r="D188" i="1"/>
  <c r="E188" i="1" s="1"/>
  <c r="C189" i="1"/>
  <c r="D189" i="1"/>
  <c r="E189" i="1"/>
  <c r="C190" i="1"/>
  <c r="D190" i="1"/>
  <c r="E190" i="1"/>
  <c r="C191" i="1"/>
  <c r="D191" i="1"/>
  <c r="E191" i="1"/>
  <c r="C192" i="1"/>
  <c r="D192" i="1"/>
  <c r="E192" i="1"/>
  <c r="C193" i="1"/>
  <c r="D193" i="1"/>
  <c r="E193" i="1"/>
  <c r="C194" i="1"/>
  <c r="D194" i="1"/>
  <c r="E194" i="1"/>
  <c r="C195" i="1"/>
  <c r="E195" i="1" s="1"/>
  <c r="D195" i="1"/>
  <c r="C196" i="1"/>
  <c r="D196" i="1"/>
  <c r="E196" i="1"/>
  <c r="C197" i="1"/>
  <c r="D197" i="1"/>
  <c r="E197" i="1" s="1"/>
  <c r="C198" i="1"/>
  <c r="E198" i="1" s="1"/>
  <c r="D198" i="1"/>
  <c r="C199" i="1"/>
  <c r="E199" i="1" s="1"/>
  <c r="D199" i="1"/>
  <c r="C200" i="1"/>
  <c r="E200" i="1" s="1"/>
  <c r="D200" i="1"/>
  <c r="C201" i="1"/>
  <c r="D201" i="1"/>
  <c r="E201" i="1"/>
  <c r="C202" i="1"/>
  <c r="D202" i="1"/>
  <c r="E202" i="1"/>
  <c r="C203" i="1"/>
  <c r="D203" i="1"/>
  <c r="E203" i="1"/>
  <c r="C204" i="1"/>
  <c r="E204" i="1" s="1"/>
  <c r="D204" i="1"/>
  <c r="C205" i="1"/>
  <c r="D205" i="1"/>
  <c r="E205" i="1" s="1"/>
  <c r="C206" i="1"/>
  <c r="E206" i="1" s="1"/>
  <c r="D206" i="1"/>
  <c r="C207" i="1"/>
  <c r="D207" i="1"/>
  <c r="E207" i="1"/>
  <c r="C208" i="1"/>
  <c r="D208" i="1"/>
  <c r="E208" i="1"/>
  <c r="C209" i="1"/>
  <c r="D209" i="1"/>
  <c r="E209" i="1"/>
  <c r="C210" i="1"/>
  <c r="E210" i="1" s="1"/>
  <c r="D210" i="1"/>
  <c r="C211" i="1"/>
  <c r="E211" i="1" s="1"/>
  <c r="D211" i="1"/>
  <c r="C212" i="1"/>
  <c r="D212" i="1"/>
  <c r="E212" i="1"/>
  <c r="C213" i="1"/>
  <c r="D213" i="1"/>
  <c r="E213" i="1"/>
  <c r="C214" i="1"/>
  <c r="D214" i="1"/>
  <c r="E214" i="1"/>
  <c r="C215" i="1"/>
  <c r="E215" i="1" s="1"/>
  <c r="D215" i="1"/>
  <c r="C216" i="1"/>
  <c r="D216" i="1"/>
  <c r="E216" i="1"/>
  <c r="C217" i="1"/>
  <c r="D217" i="1"/>
  <c r="E217" i="1"/>
  <c r="C218" i="1"/>
  <c r="D218" i="1"/>
  <c r="E218" i="1"/>
  <c r="C219" i="1"/>
  <c r="E219" i="1" s="1"/>
  <c r="D219" i="1"/>
  <c r="C220" i="1"/>
  <c r="D220" i="1"/>
  <c r="E220" i="1" s="1"/>
  <c r="C221" i="1"/>
  <c r="D221" i="1"/>
  <c r="E221" i="1"/>
  <c r="C222" i="1"/>
  <c r="D222" i="1"/>
  <c r="E222" i="1"/>
  <c r="C223" i="1"/>
  <c r="D223" i="1"/>
  <c r="E223" i="1"/>
  <c r="C224" i="1"/>
  <c r="D224" i="1"/>
  <c r="E224" i="1"/>
  <c r="C225" i="1"/>
  <c r="D225" i="1"/>
  <c r="E225" i="1"/>
  <c r="C226" i="1"/>
  <c r="D226" i="1"/>
  <c r="E226" i="1"/>
  <c r="C227" i="1"/>
  <c r="E227" i="1" s="1"/>
  <c r="D227" i="1"/>
  <c r="C228" i="1"/>
  <c r="D228" i="1"/>
  <c r="E228" i="1"/>
  <c r="C229" i="1"/>
  <c r="D229" i="1"/>
  <c r="E229" i="1" s="1"/>
  <c r="C230" i="1"/>
  <c r="E230" i="1" s="1"/>
  <c r="D230" i="1"/>
  <c r="C231" i="1"/>
  <c r="E231" i="1" s="1"/>
  <c r="D231" i="1"/>
  <c r="C232" i="1"/>
  <c r="E232" i="1" s="1"/>
  <c r="D232" i="1"/>
  <c r="C233" i="1"/>
  <c r="D233" i="1"/>
  <c r="E233" i="1"/>
  <c r="C234" i="1"/>
  <c r="D234" i="1"/>
  <c r="E234" i="1"/>
  <c r="C235" i="1"/>
  <c r="D235" i="1"/>
  <c r="E235" i="1" s="1"/>
  <c r="C236" i="1"/>
  <c r="E236" i="1" s="1"/>
  <c r="D236" i="1"/>
  <c r="C237" i="1"/>
  <c r="D237" i="1"/>
  <c r="E237" i="1" s="1"/>
  <c r="C238" i="1"/>
  <c r="E238" i="1" s="1"/>
  <c r="D238" i="1"/>
  <c r="C239" i="1"/>
  <c r="D239" i="1"/>
  <c r="E239" i="1"/>
  <c r="C240" i="1"/>
  <c r="D240" i="1"/>
  <c r="E240" i="1"/>
  <c r="C241" i="1"/>
  <c r="D241" i="1"/>
  <c r="E241" i="1"/>
  <c r="C242" i="1"/>
  <c r="E242" i="1" s="1"/>
  <c r="D242" i="1"/>
  <c r="C243" i="1"/>
  <c r="E243" i="1" s="1"/>
  <c r="D243" i="1"/>
  <c r="C244" i="1"/>
  <c r="D244" i="1"/>
  <c r="E244" i="1"/>
  <c r="C245" i="1"/>
  <c r="D245" i="1"/>
  <c r="E245" i="1"/>
  <c r="C246" i="1"/>
  <c r="D246" i="1"/>
  <c r="E246" i="1"/>
  <c r="C247" i="1"/>
  <c r="E247" i="1" s="1"/>
  <c r="D247" i="1"/>
  <c r="C248" i="1"/>
  <c r="D248" i="1"/>
  <c r="E248" i="1"/>
  <c r="C249" i="1"/>
  <c r="D249" i="1"/>
  <c r="E249" i="1"/>
  <c r="C250" i="1"/>
  <c r="D250" i="1"/>
  <c r="E250" i="1"/>
  <c r="C251" i="1"/>
  <c r="E251" i="1" s="1"/>
  <c r="D251" i="1"/>
  <c r="C252" i="1"/>
  <c r="D252" i="1"/>
  <c r="E252" i="1" s="1"/>
  <c r="C253" i="1"/>
  <c r="D253" i="1"/>
  <c r="E253" i="1"/>
  <c r="C254" i="1"/>
  <c r="D254" i="1"/>
  <c r="E254" i="1"/>
  <c r="C255" i="1"/>
  <c r="D255" i="1"/>
  <c r="E255" i="1"/>
  <c r="C256" i="1"/>
  <c r="D256" i="1"/>
  <c r="E256" i="1"/>
  <c r="C257" i="1"/>
  <c r="D257" i="1"/>
  <c r="E257" i="1"/>
  <c r="C258" i="1"/>
  <c r="D258" i="1"/>
  <c r="E258" i="1"/>
  <c r="C259" i="1"/>
  <c r="E259" i="1" s="1"/>
  <c r="D259" i="1"/>
  <c r="C260" i="1"/>
  <c r="D260" i="1"/>
  <c r="E260" i="1"/>
  <c r="C261" i="1"/>
  <c r="D261" i="1"/>
  <c r="E261" i="1" s="1"/>
  <c r="C262" i="1"/>
  <c r="E262" i="1" s="1"/>
  <c r="D262" i="1"/>
  <c r="C263" i="1"/>
  <c r="E263" i="1" s="1"/>
  <c r="D263" i="1"/>
  <c r="C264" i="1"/>
  <c r="E264" i="1" s="1"/>
  <c r="D264" i="1"/>
  <c r="C265" i="1"/>
  <c r="D265" i="1"/>
  <c r="E265" i="1"/>
  <c r="C266" i="1"/>
  <c r="D266" i="1"/>
  <c r="E266" i="1"/>
  <c r="C267" i="1"/>
  <c r="D267" i="1"/>
  <c r="E267" i="1"/>
  <c r="C268" i="1"/>
  <c r="E268" i="1" s="1"/>
  <c r="D268" i="1"/>
  <c r="C269" i="1"/>
  <c r="D269" i="1"/>
  <c r="E269" i="1" s="1"/>
  <c r="C270" i="1"/>
  <c r="E270" i="1" s="1"/>
  <c r="D270" i="1"/>
  <c r="C271" i="1"/>
  <c r="D271" i="1"/>
  <c r="E271" i="1"/>
  <c r="C272" i="1"/>
  <c r="D272" i="1"/>
  <c r="E272" i="1"/>
  <c r="C273" i="1"/>
  <c r="D273" i="1"/>
  <c r="E273" i="1"/>
  <c r="C274" i="1"/>
  <c r="E274" i="1" s="1"/>
  <c r="D274" i="1"/>
  <c r="C275" i="1"/>
  <c r="E275" i="1" s="1"/>
  <c r="D275" i="1"/>
  <c r="C276" i="1"/>
  <c r="D276" i="1"/>
  <c r="E276" i="1"/>
  <c r="C277" i="1"/>
  <c r="D277" i="1"/>
  <c r="E277" i="1"/>
  <c r="C278" i="1"/>
  <c r="D278" i="1"/>
  <c r="E278" i="1"/>
  <c r="C279" i="1"/>
  <c r="E279" i="1" s="1"/>
  <c r="D279" i="1"/>
  <c r="C280" i="1"/>
  <c r="D280" i="1"/>
  <c r="E280" i="1"/>
  <c r="C281" i="1"/>
  <c r="D281" i="1"/>
  <c r="E281" i="1"/>
  <c r="C282" i="1"/>
  <c r="D282" i="1"/>
  <c r="E282" i="1"/>
  <c r="C283" i="1"/>
  <c r="E283" i="1" s="1"/>
  <c r="D283" i="1"/>
  <c r="C284" i="1"/>
  <c r="D284" i="1"/>
  <c r="E284" i="1" s="1"/>
  <c r="C285" i="1"/>
  <c r="D285" i="1"/>
  <c r="E285" i="1"/>
  <c r="C286" i="1"/>
  <c r="D286" i="1"/>
  <c r="E286" i="1"/>
  <c r="C287" i="1"/>
  <c r="D287" i="1"/>
  <c r="E287" i="1"/>
  <c r="C288" i="1"/>
  <c r="D288" i="1"/>
  <c r="E288" i="1"/>
  <c r="C289" i="1"/>
  <c r="D289" i="1"/>
  <c r="E289" i="1"/>
  <c r="C290" i="1"/>
  <c r="D290" i="1"/>
  <c r="E290" i="1"/>
  <c r="C291" i="1"/>
  <c r="E291" i="1" s="1"/>
  <c r="D291" i="1"/>
  <c r="C292" i="1"/>
  <c r="D292" i="1"/>
  <c r="E292" i="1"/>
  <c r="C293" i="1"/>
  <c r="D293" i="1"/>
  <c r="E293" i="1" s="1"/>
  <c r="C294" i="1"/>
  <c r="E294" i="1" s="1"/>
  <c r="D294" i="1"/>
  <c r="C295" i="1"/>
  <c r="E295" i="1" s="1"/>
  <c r="D295" i="1"/>
  <c r="C296" i="1"/>
  <c r="E296" i="1" s="1"/>
  <c r="D296" i="1"/>
  <c r="C297" i="1"/>
  <c r="D297" i="1"/>
  <c r="E297" i="1"/>
  <c r="C298" i="1"/>
  <c r="D298" i="1"/>
  <c r="E298" i="1"/>
  <c r="C299" i="1"/>
  <c r="D299" i="1"/>
  <c r="E299" i="1"/>
  <c r="C300" i="1"/>
  <c r="E300" i="1" s="1"/>
  <c r="D300" i="1"/>
  <c r="C301" i="1"/>
  <c r="D301" i="1"/>
  <c r="E301" i="1" s="1"/>
  <c r="C302" i="1"/>
  <c r="E302" i="1" s="1"/>
  <c r="D302" i="1"/>
  <c r="C303" i="1"/>
  <c r="D303" i="1"/>
  <c r="E303" i="1"/>
  <c r="C304" i="1"/>
  <c r="D304" i="1"/>
  <c r="E304" i="1"/>
  <c r="C305" i="1"/>
  <c r="D305" i="1"/>
  <c r="E305" i="1"/>
  <c r="C306" i="1"/>
  <c r="E306" i="1" s="1"/>
  <c r="D306" i="1"/>
  <c r="C307" i="1"/>
  <c r="E307" i="1" s="1"/>
  <c r="D307" i="1"/>
  <c r="C308" i="1"/>
  <c r="D308" i="1"/>
  <c r="E308" i="1"/>
  <c r="C309" i="1"/>
  <c r="D309" i="1"/>
  <c r="E309" i="1"/>
  <c r="C310" i="1"/>
  <c r="D310" i="1"/>
  <c r="E310" i="1"/>
  <c r="C311" i="1"/>
  <c r="E311" i="1" s="1"/>
  <c r="D311" i="1"/>
  <c r="C312" i="1"/>
  <c r="D312" i="1"/>
  <c r="E312" i="1"/>
  <c r="C313" i="1"/>
  <c r="D313" i="1"/>
  <c r="E313" i="1"/>
  <c r="C314" i="1"/>
  <c r="D314" i="1"/>
  <c r="E314" i="1"/>
  <c r="C315" i="1"/>
  <c r="E315" i="1" s="1"/>
  <c r="D315" i="1"/>
  <c r="C316" i="1"/>
  <c r="D316" i="1"/>
  <c r="E316" i="1" s="1"/>
  <c r="C317" i="1"/>
  <c r="D317" i="1"/>
  <c r="E317" i="1"/>
  <c r="C318" i="1"/>
  <c r="D318" i="1"/>
  <c r="E318" i="1"/>
  <c r="C319" i="1"/>
  <c r="D319" i="1"/>
  <c r="E319" i="1"/>
  <c r="C320" i="1"/>
  <c r="D320" i="1"/>
  <c r="E320" i="1"/>
  <c r="C321" i="1"/>
  <c r="D321" i="1"/>
  <c r="E321" i="1"/>
  <c r="C322" i="1"/>
  <c r="D322" i="1"/>
  <c r="E322" i="1"/>
  <c r="C323" i="1"/>
  <c r="E323" i="1" s="1"/>
  <c r="D323" i="1"/>
  <c r="C324" i="1"/>
  <c r="D324" i="1"/>
  <c r="E324" i="1"/>
  <c r="C325" i="1"/>
  <c r="D325" i="1"/>
  <c r="E325" i="1"/>
  <c r="C326" i="1"/>
  <c r="E326" i="1" s="1"/>
  <c r="D326" i="1"/>
  <c r="C327" i="1"/>
  <c r="E327" i="1" s="1"/>
  <c r="D327" i="1"/>
  <c r="C328" i="1"/>
  <c r="E328" i="1" s="1"/>
  <c r="D328" i="1"/>
  <c r="C329" i="1"/>
  <c r="D329" i="1"/>
  <c r="E329" i="1"/>
  <c r="C330" i="1"/>
  <c r="D330" i="1"/>
  <c r="E330" i="1"/>
  <c r="C331" i="1"/>
  <c r="D331" i="1"/>
  <c r="E331" i="1"/>
  <c r="C332" i="1"/>
  <c r="E332" i="1" s="1"/>
  <c r="D332" i="1"/>
  <c r="C333" i="1"/>
  <c r="D333" i="1"/>
  <c r="E333" i="1" s="1"/>
  <c r="C334" i="1"/>
  <c r="E334" i="1" s="1"/>
  <c r="D334" i="1"/>
  <c r="C335" i="1"/>
  <c r="D335" i="1"/>
  <c r="E335" i="1"/>
  <c r="C336" i="1"/>
  <c r="D336" i="1"/>
  <c r="E336" i="1"/>
  <c r="C337" i="1"/>
  <c r="D337" i="1"/>
  <c r="E337" i="1"/>
  <c r="C338" i="1"/>
  <c r="E338" i="1" s="1"/>
  <c r="D338" i="1"/>
  <c r="C339" i="1"/>
  <c r="E339" i="1" s="1"/>
  <c r="D339" i="1"/>
  <c r="C340" i="1"/>
  <c r="D340" i="1"/>
  <c r="E340" i="1"/>
  <c r="C341" i="1"/>
  <c r="D341" i="1"/>
  <c r="E341" i="1"/>
  <c r="C342" i="1"/>
  <c r="D342" i="1"/>
  <c r="E342" i="1"/>
  <c r="C343" i="1"/>
  <c r="E343" i="1" s="1"/>
  <c r="D343" i="1"/>
  <c r="C344" i="1"/>
  <c r="D344" i="1"/>
  <c r="E344" i="1"/>
  <c r="C345" i="1"/>
  <c r="D345" i="1"/>
  <c r="E345" i="1"/>
  <c r="C346" i="1"/>
  <c r="D346" i="1"/>
  <c r="E346" i="1"/>
  <c r="C347" i="1"/>
  <c r="E347" i="1" s="1"/>
  <c r="D347" i="1"/>
  <c r="C348" i="1"/>
  <c r="D348" i="1"/>
  <c r="E348" i="1" s="1"/>
  <c r="C349" i="1"/>
  <c r="D349" i="1"/>
  <c r="E349" i="1"/>
  <c r="C350" i="1"/>
  <c r="D350" i="1"/>
  <c r="E350" i="1"/>
  <c r="C351" i="1"/>
  <c r="D351" i="1"/>
  <c r="E351" i="1"/>
  <c r="C352" i="1"/>
  <c r="D352" i="1"/>
  <c r="E352" i="1"/>
  <c r="C353" i="1"/>
  <c r="D353" i="1"/>
  <c r="E353" i="1"/>
  <c r="C354" i="1"/>
  <c r="D354" i="1"/>
  <c r="E354" i="1"/>
  <c r="C355" i="1"/>
  <c r="E355" i="1" s="1"/>
  <c r="D355" i="1"/>
  <c r="C356" i="1"/>
  <c r="D356" i="1"/>
  <c r="E356" i="1" s="1"/>
  <c r="C357" i="1"/>
  <c r="D357" i="1"/>
  <c r="E357" i="1"/>
  <c r="C358" i="1"/>
  <c r="E358" i="1" s="1"/>
  <c r="D358" i="1"/>
  <c r="C359" i="1"/>
  <c r="E359" i="1" s="1"/>
  <c r="D359" i="1"/>
  <c r="C360" i="1"/>
  <c r="E360" i="1" s="1"/>
  <c r="D360" i="1"/>
  <c r="C361" i="1"/>
  <c r="D361" i="1"/>
  <c r="E361" i="1"/>
  <c r="C362" i="1"/>
  <c r="D362" i="1"/>
  <c r="E362" i="1"/>
  <c r="C363" i="1"/>
  <c r="D363" i="1"/>
  <c r="E363" i="1"/>
  <c r="C364" i="1"/>
  <c r="E364" i="1" s="1"/>
  <c r="D364" i="1"/>
  <c r="C365" i="1"/>
  <c r="D365" i="1"/>
  <c r="E365" i="1" s="1"/>
  <c r="C366" i="1"/>
  <c r="E366" i="1" s="1"/>
  <c r="D366" i="1"/>
  <c r="C367" i="1"/>
  <c r="D367" i="1"/>
  <c r="E367" i="1"/>
  <c r="C368" i="1"/>
  <c r="D368" i="1"/>
  <c r="E368" i="1"/>
  <c r="C369" i="1"/>
  <c r="D369" i="1"/>
  <c r="E369" i="1"/>
  <c r="C370" i="1"/>
  <c r="E370" i="1" s="1"/>
  <c r="D370" i="1"/>
  <c r="C371" i="1"/>
  <c r="E371" i="1" s="1"/>
  <c r="D371" i="1"/>
  <c r="C372" i="1"/>
  <c r="D372" i="1"/>
  <c r="E372" i="1"/>
  <c r="C373" i="1"/>
  <c r="D373" i="1"/>
  <c r="E373" i="1"/>
  <c r="C374" i="1"/>
  <c r="D374" i="1"/>
  <c r="E374" i="1"/>
  <c r="C375" i="1"/>
  <c r="E375" i="1" s="1"/>
  <c r="D375" i="1"/>
  <c r="C376" i="1"/>
  <c r="D376" i="1"/>
  <c r="E376" i="1"/>
  <c r="C377" i="1"/>
  <c r="D377" i="1"/>
  <c r="E377" i="1"/>
  <c r="C378" i="1"/>
  <c r="D378" i="1"/>
  <c r="E378" i="1"/>
  <c r="C379" i="1"/>
  <c r="E379" i="1" s="1"/>
  <c r="D379" i="1"/>
  <c r="C380" i="1"/>
  <c r="D380" i="1"/>
  <c r="E380" i="1" s="1"/>
  <c r="C381" i="1"/>
  <c r="D381" i="1"/>
  <c r="E381" i="1"/>
  <c r="C382" i="1"/>
  <c r="D382" i="1"/>
  <c r="E382" i="1"/>
  <c r="C383" i="1"/>
  <c r="D383" i="1"/>
  <c r="E383" i="1"/>
  <c r="C384" i="1"/>
  <c r="D384" i="1"/>
  <c r="E384" i="1"/>
  <c r="C385" i="1"/>
  <c r="D385" i="1"/>
  <c r="E385" i="1"/>
  <c r="C386" i="1"/>
  <c r="D386" i="1"/>
  <c r="E386" i="1"/>
  <c r="C387" i="1"/>
  <c r="E387" i="1" s="1"/>
  <c r="D387" i="1"/>
  <c r="C388" i="1"/>
  <c r="D388" i="1"/>
  <c r="E388" i="1"/>
  <c r="C389" i="1"/>
  <c r="D389" i="1"/>
  <c r="E389" i="1"/>
  <c r="C390" i="1"/>
  <c r="E390" i="1" s="1"/>
  <c r="D390" i="1"/>
  <c r="C391" i="1"/>
  <c r="E391" i="1" s="1"/>
  <c r="D391" i="1"/>
  <c r="C392" i="1"/>
  <c r="E392" i="1" s="1"/>
  <c r="D392" i="1"/>
  <c r="C393" i="1"/>
  <c r="D393" i="1"/>
  <c r="E393" i="1"/>
  <c r="C394" i="1"/>
  <c r="D394" i="1"/>
  <c r="E394" i="1"/>
  <c r="C395" i="1"/>
  <c r="D395" i="1"/>
  <c r="E395" i="1"/>
  <c r="C396" i="1"/>
  <c r="E396" i="1" s="1"/>
  <c r="D396" i="1"/>
  <c r="C397" i="1"/>
  <c r="D397" i="1"/>
  <c r="E397" i="1" s="1"/>
  <c r="C398" i="1"/>
  <c r="E398" i="1" s="1"/>
  <c r="D398" i="1"/>
  <c r="C399" i="1"/>
  <c r="D399" i="1"/>
  <c r="E399" i="1"/>
  <c r="C400" i="1"/>
  <c r="D400" i="1"/>
  <c r="E400" i="1"/>
  <c r="C401" i="1"/>
  <c r="D401" i="1"/>
  <c r="E401" i="1"/>
  <c r="C402" i="1"/>
  <c r="E402" i="1" s="1"/>
  <c r="D402" i="1"/>
  <c r="C403" i="1"/>
  <c r="E403" i="1" s="1"/>
  <c r="D403" i="1"/>
  <c r="C404" i="1"/>
  <c r="D404" i="1"/>
  <c r="E404" i="1"/>
  <c r="C405" i="1"/>
  <c r="D405" i="1"/>
  <c r="E405" i="1"/>
  <c r="C406" i="1"/>
  <c r="D406" i="1"/>
  <c r="E406" i="1"/>
  <c r="C407" i="1"/>
  <c r="E407" i="1" s="1"/>
  <c r="D407" i="1"/>
  <c r="C408" i="1"/>
  <c r="D408" i="1"/>
  <c r="E408" i="1"/>
  <c r="C409" i="1"/>
  <c r="D409" i="1"/>
  <c r="E409" i="1"/>
  <c r="C410" i="1"/>
  <c r="D410" i="1"/>
  <c r="E410" i="1"/>
  <c r="C411" i="1"/>
  <c r="E411" i="1" s="1"/>
  <c r="D411" i="1"/>
  <c r="C412" i="1"/>
  <c r="D412" i="1"/>
  <c r="E412" i="1"/>
  <c r="C413" i="1"/>
  <c r="D413" i="1"/>
  <c r="E413" i="1"/>
  <c r="C414" i="1"/>
  <c r="D414" i="1"/>
  <c r="E414" i="1"/>
  <c r="C415" i="1"/>
  <c r="D415" i="1"/>
  <c r="E415" i="1"/>
  <c r="C416" i="1"/>
  <c r="D416" i="1"/>
  <c r="E416" i="1"/>
  <c r="C417" i="1"/>
  <c r="D417" i="1"/>
  <c r="E417" i="1"/>
  <c r="C418" i="1"/>
  <c r="D418" i="1"/>
  <c r="E418" i="1"/>
  <c r="C419" i="1"/>
  <c r="E419" i="1" s="1"/>
  <c r="D419" i="1"/>
  <c r="C420" i="1"/>
  <c r="D420" i="1"/>
  <c r="E420" i="1"/>
  <c r="C421" i="1"/>
  <c r="D421" i="1"/>
  <c r="E421" i="1"/>
  <c r="C422" i="1"/>
  <c r="E422" i="1" s="1"/>
  <c r="D422" i="1"/>
  <c r="C423" i="1"/>
  <c r="E423" i="1" s="1"/>
  <c r="D423" i="1"/>
  <c r="C424" i="1"/>
  <c r="E424" i="1" s="1"/>
  <c r="D424" i="1"/>
  <c r="C425" i="1"/>
  <c r="D425" i="1"/>
  <c r="E425" i="1"/>
  <c r="C426" i="1"/>
  <c r="D426" i="1"/>
  <c r="E426" i="1"/>
  <c r="C427" i="1"/>
  <c r="D427" i="1"/>
  <c r="E427" i="1"/>
  <c r="C428" i="1"/>
  <c r="E428" i="1" s="1"/>
  <c r="D428" i="1"/>
  <c r="C429" i="1"/>
  <c r="D429" i="1"/>
  <c r="E429" i="1" s="1"/>
  <c r="C430" i="1"/>
  <c r="E430" i="1" s="1"/>
  <c r="D430" i="1"/>
  <c r="C431" i="1"/>
  <c r="D431" i="1"/>
  <c r="E431" i="1"/>
  <c r="C432" i="1"/>
  <c r="D432" i="1"/>
  <c r="E432" i="1"/>
  <c r="C433" i="1"/>
  <c r="D433" i="1"/>
  <c r="E433" i="1"/>
  <c r="C434" i="1"/>
  <c r="E434" i="1" s="1"/>
  <c r="D434" i="1"/>
  <c r="C435" i="1"/>
  <c r="E435" i="1" s="1"/>
  <c r="D435" i="1"/>
  <c r="C436" i="1"/>
  <c r="D436" i="1"/>
  <c r="E436" i="1"/>
  <c r="C437" i="1"/>
  <c r="D437" i="1"/>
  <c r="E437" i="1"/>
  <c r="C438" i="1"/>
  <c r="D438" i="1"/>
  <c r="E438" i="1"/>
  <c r="C439" i="1"/>
  <c r="E439" i="1" s="1"/>
  <c r="D439" i="1"/>
  <c r="C440" i="1"/>
  <c r="D440" i="1"/>
  <c r="E440" i="1"/>
  <c r="C441" i="1"/>
  <c r="D441" i="1"/>
  <c r="E441" i="1"/>
  <c r="C442" i="1"/>
  <c r="D442" i="1"/>
  <c r="E442" i="1"/>
  <c r="C443" i="1"/>
  <c r="E443" i="1" s="1"/>
  <c r="D443" i="1"/>
  <c r="C444" i="1"/>
  <c r="D444" i="1"/>
  <c r="E444" i="1"/>
  <c r="C445" i="1"/>
  <c r="D445" i="1"/>
  <c r="E445" i="1"/>
  <c r="C446" i="1"/>
  <c r="D446" i="1"/>
  <c r="E446" i="1"/>
  <c r="C447" i="1"/>
  <c r="D447" i="1"/>
  <c r="E447" i="1"/>
  <c r="C448" i="1"/>
  <c r="D448" i="1"/>
  <c r="E448" i="1"/>
  <c r="C449" i="1"/>
  <c r="D449" i="1"/>
  <c r="E449" i="1"/>
  <c r="C450" i="1"/>
  <c r="D450" i="1"/>
  <c r="E450" i="1"/>
  <c r="C451" i="1"/>
  <c r="E451" i="1" s="1"/>
  <c r="D451" i="1"/>
  <c r="C452" i="1"/>
  <c r="D452" i="1"/>
  <c r="E452" i="1"/>
  <c r="C453" i="1"/>
  <c r="D453" i="1"/>
  <c r="E453" i="1"/>
  <c r="C454" i="1"/>
  <c r="E454" i="1" s="1"/>
  <c r="D454" i="1"/>
  <c r="C455" i="1"/>
  <c r="E455" i="1" s="1"/>
  <c r="D455" i="1"/>
  <c r="C456" i="1"/>
  <c r="E456" i="1" s="1"/>
  <c r="D456" i="1"/>
  <c r="C457" i="1"/>
  <c r="D457" i="1"/>
  <c r="E457" i="1"/>
  <c r="C458" i="1"/>
  <c r="D458" i="1"/>
  <c r="E458" i="1"/>
  <c r="C459" i="1"/>
  <c r="D459" i="1"/>
  <c r="E459" i="1"/>
  <c r="C460" i="1"/>
  <c r="E460" i="1" s="1"/>
  <c r="D460" i="1"/>
  <c r="C461" i="1"/>
  <c r="D461" i="1"/>
  <c r="E461" i="1" s="1"/>
  <c r="C462" i="1"/>
  <c r="E462" i="1" s="1"/>
  <c r="D462" i="1"/>
  <c r="C463" i="1"/>
  <c r="D463" i="1"/>
  <c r="E463" i="1"/>
  <c r="C464" i="1"/>
  <c r="D464" i="1"/>
  <c r="E464" i="1"/>
  <c r="C465" i="1"/>
  <c r="D465" i="1"/>
  <c r="E465" i="1"/>
  <c r="C466" i="1"/>
  <c r="E466" i="1" s="1"/>
  <c r="D466" i="1"/>
  <c r="C467" i="1"/>
  <c r="E467" i="1" s="1"/>
  <c r="D467" i="1"/>
  <c r="C468" i="1"/>
  <c r="D468" i="1"/>
  <c r="E468" i="1"/>
  <c r="C469" i="1"/>
  <c r="D469" i="1"/>
  <c r="E469" i="1"/>
  <c r="C470" i="1"/>
  <c r="D470" i="1"/>
  <c r="E470" i="1"/>
  <c r="C471" i="1"/>
  <c r="E471" i="1" s="1"/>
  <c r="D471" i="1"/>
  <c r="C472" i="1"/>
  <c r="D472" i="1"/>
  <c r="E472" i="1"/>
  <c r="C473" i="1"/>
  <c r="D473" i="1"/>
  <c r="E473" i="1"/>
  <c r="C474" i="1"/>
  <c r="D474" i="1"/>
  <c r="E474" i="1"/>
  <c r="C475" i="1"/>
  <c r="E475" i="1" s="1"/>
  <c r="D475" i="1"/>
  <c r="C476" i="1"/>
  <c r="D476" i="1"/>
  <c r="E476" i="1" s="1"/>
  <c r="C477" i="1"/>
  <c r="D477" i="1"/>
  <c r="E477" i="1"/>
  <c r="E1" i="1"/>
  <c r="D1" i="1"/>
  <c r="C1" i="1"/>
</calcChain>
</file>

<file path=xl/sharedStrings.xml><?xml version="1.0" encoding="utf-8"?>
<sst xmlns="http://schemas.openxmlformats.org/spreadsheetml/2006/main" count="954" uniqueCount="775">
  <si>
    <t>USP30179CR77</t>
  </si>
  <si>
    <t>CFELEC 6.45 01/24/35</t>
  </si>
  <si>
    <t>XS3101499773</t>
  </si>
  <si>
    <t>REPHUN 6 3/4 09/23/55</t>
  </si>
  <si>
    <t>XS2747599509</t>
  </si>
  <si>
    <t>KSA 5 3/4 01/16/54</t>
  </si>
  <si>
    <t>XS3101499260</t>
  </si>
  <si>
    <t>REPHUN 6 09/26/35</t>
  </si>
  <si>
    <t>XS2974969482</t>
  </si>
  <si>
    <t>KSA 5 5/8 01/13/35</t>
  </si>
  <si>
    <t>XS3084345241</t>
  </si>
  <si>
    <t>ARAMCO 6 3/8 06/02/55</t>
  </si>
  <si>
    <t>XS3084344947</t>
  </si>
  <si>
    <t>ARAMCO 5 3/8 06/02/35</t>
  </si>
  <si>
    <t>XS3101499187</t>
  </si>
  <si>
    <t>REPHUN 5 3/8 09/26/30</t>
  </si>
  <si>
    <t>XS2861555964</t>
  </si>
  <si>
    <t>ARAMCO 5 7/8 07/17/64</t>
  </si>
  <si>
    <t>US91911TAQ67</t>
  </si>
  <si>
    <t>VALEBZ 3 3/4 07/08/30</t>
  </si>
  <si>
    <t>XS2908633683</t>
  </si>
  <si>
    <t>ROMANI 5 3/4 03/24/35</t>
  </si>
  <si>
    <t>XS2861550817</t>
  </si>
  <si>
    <t>ARAMCO 5 1/4 07/17/34</t>
  </si>
  <si>
    <t>US91087BAV27</t>
  </si>
  <si>
    <t>MEX 6.35 02/09/35</t>
  </si>
  <si>
    <t>XS2755904872</t>
  </si>
  <si>
    <t>PIFKSA 5 3/8 01/29/54</t>
  </si>
  <si>
    <t>US91911TAR41</t>
  </si>
  <si>
    <t>VALEBZ 6 1/8 06/12/33</t>
  </si>
  <si>
    <t>US715638FC12</t>
  </si>
  <si>
    <t>PERU 5 1/2 03/30/36</t>
  </si>
  <si>
    <t>XS3084344863</t>
  </si>
  <si>
    <t>ARAMCO 4 3/4 06/02/30</t>
  </si>
  <si>
    <t>XS3114901336</t>
  </si>
  <si>
    <t>ROMANI 5 3/4 09/16/30</t>
  </si>
  <si>
    <t>XS2571924070</t>
  </si>
  <si>
    <t>ROMANI 7 5/8 01/17/53</t>
  </si>
  <si>
    <t>US857524AH50</t>
  </si>
  <si>
    <t>POLAND 5 3/8 02/12/35</t>
  </si>
  <si>
    <t>US91087BBD10</t>
  </si>
  <si>
    <t>MEX 7 3/8 05/13/55</t>
  </si>
  <si>
    <t>US91911TAS24</t>
  </si>
  <si>
    <t>VALEBZ 6.4 06/28/54</t>
  </si>
  <si>
    <t>XS2747599095</t>
  </si>
  <si>
    <t>KSA 5 01/16/34</t>
  </si>
  <si>
    <t>XS2974923497</t>
  </si>
  <si>
    <t>KSA 5 1/8 01/13/28</t>
  </si>
  <si>
    <t>XS2861551898</t>
  </si>
  <si>
    <t>ARAMCO 5 3/4 07/17/54</t>
  </si>
  <si>
    <t>XS3114897633</t>
  </si>
  <si>
    <t>ROMANI 6 5/8 05/16/36</t>
  </si>
  <si>
    <t>US91087BBC37</t>
  </si>
  <si>
    <t>MEX 6 7/8 05/13/37</t>
  </si>
  <si>
    <t>XS1508675508</t>
  </si>
  <si>
    <t>KSA 4 1/2 10/26/46</t>
  </si>
  <si>
    <t>US731011AZ55</t>
  </si>
  <si>
    <t>POLAND 5 1/2 03/18/54</t>
  </si>
  <si>
    <t>US731011AY80</t>
  </si>
  <si>
    <t>POLAND 5 1/8 09/18/34</t>
  </si>
  <si>
    <t>US91087BBE92</t>
  </si>
  <si>
    <t>MEX 5.85 07/02/32</t>
  </si>
  <si>
    <t>US857524AF94</t>
  </si>
  <si>
    <t>POLAND 4 7/8 02/12/30</t>
  </si>
  <si>
    <t>XS2999564581</t>
  </si>
  <si>
    <t>ROMANI 7 1/2 02/10/37</t>
  </si>
  <si>
    <t>XS2585988061</t>
  </si>
  <si>
    <t>PIFKSA 4 7/8 02/14/35</t>
  </si>
  <si>
    <t>XS2571923007</t>
  </si>
  <si>
    <t>ROMANI 7 1/8 01/17/33</t>
  </si>
  <si>
    <t>XS1936302949</t>
  </si>
  <si>
    <t>KSA 5 1/4 01/16/50</t>
  </si>
  <si>
    <t>XS2577136109</t>
  </si>
  <si>
    <t>KSA 5 01/18/53</t>
  </si>
  <si>
    <t>US760942BA98</t>
  </si>
  <si>
    <t>URUGUA 5.1 06/18/50</t>
  </si>
  <si>
    <t>XS2388586583</t>
  </si>
  <si>
    <t>REPHUN 3 1/8 09/21/51</t>
  </si>
  <si>
    <t>XS1982113208</t>
  </si>
  <si>
    <t>ARAMCO 3 1/2 04/16/29</t>
  </si>
  <si>
    <t>US77586TAE64</t>
  </si>
  <si>
    <t>ROMANI 6 1/8 01/22/44</t>
  </si>
  <si>
    <t>US91087BAZ31</t>
  </si>
  <si>
    <t>MEX 6 05/07/36</t>
  </si>
  <si>
    <t>XS2485249523</t>
  </si>
  <si>
    <t>ROMANI 6 05/25/34</t>
  </si>
  <si>
    <t>XS2756521212</t>
  </si>
  <si>
    <t>ROMANI 5 7/8 01/30/29</t>
  </si>
  <si>
    <t>US731011AW25</t>
  </si>
  <si>
    <t>POLAND 5 1/2 04/04/53</t>
  </si>
  <si>
    <t>US91087BBF67</t>
  </si>
  <si>
    <t>MEX 6 5/8 01/29/38</t>
  </si>
  <si>
    <t>XS2811094213</t>
  </si>
  <si>
    <t>ADGB 5 1/2 04/30/54</t>
  </si>
  <si>
    <t>US857524AE20</t>
  </si>
  <si>
    <t>POLAND 5 3/4 11/16/32</t>
  </si>
  <si>
    <t>XS2756521303</t>
  </si>
  <si>
    <t>ROMANI 6 3/8 01/30/34</t>
  </si>
  <si>
    <t>US91086QAZ19</t>
  </si>
  <si>
    <t>MEX 5 3/4 10/12/2110</t>
  </si>
  <si>
    <t>XS2747598444</t>
  </si>
  <si>
    <t>KSA 4 3/4 01/16/30</t>
  </si>
  <si>
    <t>USP30179BK34</t>
  </si>
  <si>
    <t>CFELEC 3 7/8 07/26/33</t>
  </si>
  <si>
    <t>XS2907245208</t>
  </si>
  <si>
    <t>ADQABU 5 1/4 10/02/54</t>
  </si>
  <si>
    <t>US445545AF36</t>
  </si>
  <si>
    <t>REPHUN 7 5/8 03/29/41</t>
  </si>
  <si>
    <t>XS2201851685</t>
  </si>
  <si>
    <t>ROMANI 4 02/14/51</t>
  </si>
  <si>
    <t>XS1402929746</t>
  </si>
  <si>
    <t>ADGB 3 1/8 05/03/26</t>
  </si>
  <si>
    <t>US91087BAR15</t>
  </si>
  <si>
    <t>MEX 3 1/2 02/12/34</t>
  </si>
  <si>
    <t>US731011AX08</t>
  </si>
  <si>
    <t>POLAND 4 5/8 03/18/29</t>
  </si>
  <si>
    <t>XS2898198515</t>
  </si>
  <si>
    <t>ADNOCM 5 1/8 09/11/54</t>
  </si>
  <si>
    <t>XS1982113463</t>
  </si>
  <si>
    <t>ARAMCO 4 1/4 04/16/39</t>
  </si>
  <si>
    <t>XS2574267261</t>
  </si>
  <si>
    <t>REPHUN 6 1/4 09/22/32</t>
  </si>
  <si>
    <t>XS2574267345</t>
  </si>
  <si>
    <t>REPHUN 6 3/4 09/25/52</t>
  </si>
  <si>
    <t>XS2585988145</t>
  </si>
  <si>
    <t>PIFKSA 5 1/8 02/14/53</t>
  </si>
  <si>
    <t>XS2811094486</t>
  </si>
  <si>
    <t>ADGB 5 04/30/34</t>
  </si>
  <si>
    <t>XS2811094130</t>
  </si>
  <si>
    <t>ADGB 4 7/8 04/30/29</t>
  </si>
  <si>
    <t>XS2744128369</t>
  </si>
  <si>
    <t>REPHUN 5 1/2 03/26/36</t>
  </si>
  <si>
    <t>US91087BBB53</t>
  </si>
  <si>
    <t>MEX 6 05/13/30</t>
  </si>
  <si>
    <t>XS2816006303</t>
  </si>
  <si>
    <t>ADQABU 5 3/8 05/08/29</t>
  </si>
  <si>
    <t>US91086QBB32</t>
  </si>
  <si>
    <t>MEX 4 3/4 03/08/44</t>
  </si>
  <si>
    <t>US91911TAH68</t>
  </si>
  <si>
    <t>VALEBZ 6 7/8 11/21/36</t>
  </si>
  <si>
    <t>USP8718AAQ96</t>
  </si>
  <si>
    <t>SQM 5 1/2 09/10/34</t>
  </si>
  <si>
    <t>US715638EC21</t>
  </si>
  <si>
    <t>PERU 5 7/8 08/08/54</t>
  </si>
  <si>
    <t>USP30179BQ04</t>
  </si>
  <si>
    <t>CFELEC 4.688 05/15/29</t>
  </si>
  <si>
    <t>XS2010026487</t>
  </si>
  <si>
    <t>REPHUN 5 1/2 06/16/34</t>
  </si>
  <si>
    <t>XS2987801359</t>
  </si>
  <si>
    <t>PIFKSA 5 1/4 01/29/30</t>
  </si>
  <si>
    <t>US168863DZ80</t>
  </si>
  <si>
    <t>CHILE 4.95 01/05/36</t>
  </si>
  <si>
    <t>US715638FD94</t>
  </si>
  <si>
    <t>PERU 6.2 06/30/55</t>
  </si>
  <si>
    <t>XS2571922884</t>
  </si>
  <si>
    <t>ROMANI 6 5/8 02/17/28</t>
  </si>
  <si>
    <t>XS1791939736</t>
  </si>
  <si>
    <t>KSA 5 04/17/49</t>
  </si>
  <si>
    <t>US91086QAV05</t>
  </si>
  <si>
    <t>MEX 6.05 01/11/40</t>
  </si>
  <si>
    <t>XS2822506833</t>
  </si>
  <si>
    <t>QATAR 4 3/4 05/29/34</t>
  </si>
  <si>
    <t>XS2262853265</t>
  </si>
  <si>
    <t>ARAMCO 2 1/4 11/24/30</t>
  </si>
  <si>
    <t>XS2974968161</t>
  </si>
  <si>
    <t>KSA 5 3/8 01/13/31</t>
  </si>
  <si>
    <t>USN7163RAD54</t>
  </si>
  <si>
    <t>PRXNA 4.027 08/03/50</t>
  </si>
  <si>
    <t>USN7163RAA16</t>
  </si>
  <si>
    <t>PRXNA 3.68 01/21/30</t>
  </si>
  <si>
    <t>US445545AX42</t>
  </si>
  <si>
    <t>XS2574267188</t>
  </si>
  <si>
    <t>REPHUN 6 1/8 05/22/28</t>
  </si>
  <si>
    <t>XS2577135127</t>
  </si>
  <si>
    <t>KSA 4 7/8 07/18/33</t>
  </si>
  <si>
    <t>US168863DV76</t>
  </si>
  <si>
    <t>CHILE 3 1/2 01/31/34</t>
  </si>
  <si>
    <t>XS1837994794</t>
  </si>
  <si>
    <t>ROMANI 5 1/8 06/15/48</t>
  </si>
  <si>
    <t>US91087BBA70</t>
  </si>
  <si>
    <t>MEX 6.4 05/07/54</t>
  </si>
  <si>
    <t>US715638BM30</t>
  </si>
  <si>
    <t>PERU 5 5/8 11/18/50</t>
  </si>
  <si>
    <t>XS2485248806</t>
  </si>
  <si>
    <t>ROMANI 5 1/4 11/25/27</t>
  </si>
  <si>
    <t>US168863EE43</t>
  </si>
  <si>
    <t>CHILE 5.65 01/13/37</t>
  </si>
  <si>
    <t>US731011AV42</t>
  </si>
  <si>
    <t>POLAND 4 7/8 10/04/33</t>
  </si>
  <si>
    <t>US917288BK78</t>
  </si>
  <si>
    <t>URUGUA 4 3/8 01/23/31</t>
  </si>
  <si>
    <t>XS2918565198</t>
  </si>
  <si>
    <t>QATAR 4 7/8 02/27/35</t>
  </si>
  <si>
    <t>USP3143NBV57</t>
  </si>
  <si>
    <t>CDEL 6.33 01/13/35</t>
  </si>
  <si>
    <t>US91087BAH33</t>
  </si>
  <si>
    <t>MEX 3 1/4 04/16/30</t>
  </si>
  <si>
    <t>XS2911044019</t>
  </si>
  <si>
    <t>TAQAUH 4 3/8 10/09/31</t>
  </si>
  <si>
    <t>XS2155352748</t>
  </si>
  <si>
    <t>QATAR 4.4 04/16/50</t>
  </si>
  <si>
    <t>XS2057866191</t>
  </si>
  <si>
    <t>ADGB 3 1/8 09/30/49</t>
  </si>
  <si>
    <t>XS1694217495</t>
  </si>
  <si>
    <t>KSA 3 5/8 03/04/28</t>
  </si>
  <si>
    <t>USP3143NBW31</t>
  </si>
  <si>
    <t>CDEL 6.78 01/13/55</t>
  </si>
  <si>
    <t>XS2851607403</t>
  </si>
  <si>
    <t>BGOSK 5 3/4 07/09/34</t>
  </si>
  <si>
    <t>XS2755904526</t>
  </si>
  <si>
    <t>PIFKSA 5 01/29/29</t>
  </si>
  <si>
    <t>XS2898198432</t>
  </si>
  <si>
    <t>ADNOCM 4 1/2 09/11/34</t>
  </si>
  <si>
    <t>XS1696899035</t>
  </si>
  <si>
    <t>ADGB 4 1/8 10/11/47</t>
  </si>
  <si>
    <t>USP29595AD08</t>
  </si>
  <si>
    <t>CFELEC 3.348 02/09/31</t>
  </si>
  <si>
    <t>XS1807174559</t>
  </si>
  <si>
    <t>QATAR 5.103 04/23/48</t>
  </si>
  <si>
    <t>XS2262853422</t>
  </si>
  <si>
    <t>ARAMCO 3 1/2 11/24/70</t>
  </si>
  <si>
    <t>XS2851609102</t>
  </si>
  <si>
    <t>BGOSK 6 1/4 07/09/54</t>
  </si>
  <si>
    <t>XS2294323386</t>
  </si>
  <si>
    <t>KSA 3.45 02/02/61</t>
  </si>
  <si>
    <t>XS2010026305</t>
  </si>
  <si>
    <t>REPHUN 5 1/4 06/16/29</t>
  </si>
  <si>
    <t>XS2125308168</t>
  </si>
  <si>
    <t>ADGB 3 1/8 04/16/30</t>
  </si>
  <si>
    <t>XS2434895988</t>
  </si>
  <si>
    <t>ROMANI 3 02/27/27</t>
  </si>
  <si>
    <t>XS3061310101</t>
  </si>
  <si>
    <t>ADQABU 4 1/2 05/06/30</t>
  </si>
  <si>
    <t>US760942BH42</t>
  </si>
  <si>
    <t>URUGUA 5.442 02/14/37</t>
  </si>
  <si>
    <t>XS1791939066</t>
  </si>
  <si>
    <t>KSA 4 1/2 04/17/30</t>
  </si>
  <si>
    <t>XS1936302865</t>
  </si>
  <si>
    <t>KSA 4 3/8 04/16/29</t>
  </si>
  <si>
    <t>US91086QBE70</t>
  </si>
  <si>
    <t>MEX 5.55 01/21/45</t>
  </si>
  <si>
    <t>US91087BAM28</t>
  </si>
  <si>
    <t>MEX 2.659 05/24/31</t>
  </si>
  <si>
    <t>XS2585987683</t>
  </si>
  <si>
    <t>PIFKSA 4 3/4 02/14/30</t>
  </si>
  <si>
    <t>USP8718AAP14</t>
  </si>
  <si>
    <t>SQM 6 1/2 11/07/33</t>
  </si>
  <si>
    <t>XS1508675417</t>
  </si>
  <si>
    <t>KSA 3 1/4 10/26/26</t>
  </si>
  <si>
    <t>XS1694218469</t>
  </si>
  <si>
    <t>KSA 4 5/8 10/04/47</t>
  </si>
  <si>
    <t>XS2830445727</t>
  </si>
  <si>
    <t>MUBAUH 5.294 06/04/34</t>
  </si>
  <si>
    <t>XS2262853349</t>
  </si>
  <si>
    <t>ARAMCO 3 1/4 11/24/50</t>
  </si>
  <si>
    <t>XS2109770151</t>
  </si>
  <si>
    <t>KSA 3 3/4 01/21/55</t>
  </si>
  <si>
    <t>US91087BAX82</t>
  </si>
  <si>
    <t>MEX 6.338 05/04/53</t>
  </si>
  <si>
    <t>US731011AU68</t>
  </si>
  <si>
    <t>POLAND 3 1/4 04/06/26</t>
  </si>
  <si>
    <t>US445545AW68</t>
  </si>
  <si>
    <t>XS2201851172</t>
  </si>
  <si>
    <t>ROMANI 3 02/14/31</t>
  </si>
  <si>
    <t>XS1959337749</t>
  </si>
  <si>
    <t>QATAR 4.817 03/14/49</t>
  </si>
  <si>
    <t>XS2388586401</t>
  </si>
  <si>
    <t>REPHUN 2 1/8 09/22/31</t>
  </si>
  <si>
    <t>XS2816006725</t>
  </si>
  <si>
    <t>ADQABU 5 1/2 05/08/34</t>
  </si>
  <si>
    <t>US168863EA21</t>
  </si>
  <si>
    <t>CHILE 5.33 01/05/54</t>
  </si>
  <si>
    <t>XS2225210413</t>
  </si>
  <si>
    <t>ADGB 1.7 03/02/31</t>
  </si>
  <si>
    <t>US91087BAT70</t>
  </si>
  <si>
    <t>MEX 4 7/8 05/19/33</t>
  </si>
  <si>
    <t>USN7163RAQ67</t>
  </si>
  <si>
    <t>PRXNA 3.832 02/08/51</t>
  </si>
  <si>
    <t>XS2755904799</t>
  </si>
  <si>
    <t>PIFKSA 5 1/4 01/29/34</t>
  </si>
  <si>
    <t>XS2625207571</t>
  </si>
  <si>
    <t>BGOSK 5 3/8 05/22/33</t>
  </si>
  <si>
    <t>XS2159975882</t>
  </si>
  <si>
    <t>KSA 4 1/2 04/22/60</t>
  </si>
  <si>
    <t>US715638DF60</t>
  </si>
  <si>
    <t>PERU 2.783 01/23/31</t>
  </si>
  <si>
    <t>US760942BE11</t>
  </si>
  <si>
    <t>URUGUA 5 3/4 10/28/34</t>
  </si>
  <si>
    <t>US168863EB04</t>
  </si>
  <si>
    <t>CHILE 4.85 01/22/29</t>
  </si>
  <si>
    <t>XS1982116136</t>
  </si>
  <si>
    <t>ARAMCO 4 3/8 04/16/49</t>
  </si>
  <si>
    <t>US74365PAH10</t>
  </si>
  <si>
    <t>PRXNA 4.193 01/19/32</t>
  </si>
  <si>
    <t>XS2225210330</t>
  </si>
  <si>
    <t>ADGB 2.7 09/02/70</t>
  </si>
  <si>
    <t>XS2155352664</t>
  </si>
  <si>
    <t>QATAR 3 3/4 04/16/30</t>
  </si>
  <si>
    <t>XS1405782159</t>
  </si>
  <si>
    <t>QATAR 3 1/4 06/02/26</t>
  </si>
  <si>
    <t>US034863BE99</t>
  </si>
  <si>
    <t>AALLN 5 3/4 04/05/34</t>
  </si>
  <si>
    <t>US715638DQ26</t>
  </si>
  <si>
    <t>PERU 2.78 12/01/60</t>
  </si>
  <si>
    <t>US91086QAS75</t>
  </si>
  <si>
    <t>MEX 6 3/4 09/27/34</t>
  </si>
  <si>
    <t>US760942AY83</t>
  </si>
  <si>
    <t>URUGUA 4 1/8 11/20/45</t>
  </si>
  <si>
    <t>US80414L3F04</t>
  </si>
  <si>
    <t>USP3143NBT02</t>
  </si>
  <si>
    <t>CDEL 6.44 01/26/36</t>
  </si>
  <si>
    <t>USN7163RAY91</t>
  </si>
  <si>
    <t>PRXNA 4.987 01/19/52</t>
  </si>
  <si>
    <t>US77586RAX89</t>
  </si>
  <si>
    <t>US168863DN50</t>
  </si>
  <si>
    <t>CHILE 2.55 01/27/32</t>
  </si>
  <si>
    <t>XS1696892295</t>
  </si>
  <si>
    <t>ADGB 3 1/8 10/11/27</t>
  </si>
  <si>
    <t>US77586RAV24</t>
  </si>
  <si>
    <t>USN7163RAR41</t>
  </si>
  <si>
    <t>PRXNA 3.061 07/13/31</t>
  </si>
  <si>
    <t>US715638DU38</t>
  </si>
  <si>
    <t>PERU 3 01/15/34</t>
  </si>
  <si>
    <t>US168863CF36</t>
  </si>
  <si>
    <t>CHILE 3.24 02/06/28</t>
  </si>
  <si>
    <t>XS2125308242</t>
  </si>
  <si>
    <t>ADGB 3 7/8 04/16/50</t>
  </si>
  <si>
    <t>US715638EB48</t>
  </si>
  <si>
    <t>PERU 5 3/8 02/08/35</t>
  </si>
  <si>
    <t>XS2850662631</t>
  </si>
  <si>
    <t>UAE 4.857 07/02/34</t>
  </si>
  <si>
    <t>XS2987801433</t>
  </si>
  <si>
    <t>PIFKSA 5 5/8 07/29/34</t>
  </si>
  <si>
    <t>US857524AD47</t>
  </si>
  <si>
    <t>POLAND 5 1/2 11/16/27</t>
  </si>
  <si>
    <t>USN7163RAX19</t>
  </si>
  <si>
    <t>XS2294322818</t>
  </si>
  <si>
    <t>KSA 2 1/4 02/02/33</t>
  </si>
  <si>
    <t>US91087BAS97</t>
  </si>
  <si>
    <t>MEX 4.4 02/12/52</t>
  </si>
  <si>
    <t>US168863DT21</t>
  </si>
  <si>
    <t>CHILE 2.55 07/27/33</t>
  </si>
  <si>
    <t>USN7163RAW36</t>
  </si>
  <si>
    <t>PRXNA 3.257 01/19/27</t>
  </si>
  <si>
    <t>US760942BD38</t>
  </si>
  <si>
    <t>URUGUA 4.975 04/20/55</t>
  </si>
  <si>
    <t>XS2075924048</t>
  </si>
  <si>
    <t>MUBAUH 3.7 11/07/49</t>
  </si>
  <si>
    <t>US445545AV85</t>
  </si>
  <si>
    <t>US91911TAK97</t>
  </si>
  <si>
    <t>VALEBZ 6 7/8 11/10/39</t>
  </si>
  <si>
    <t>XS2542162321</t>
  </si>
  <si>
    <t>PIFKSA 5 10/13/27</t>
  </si>
  <si>
    <t>XS0113419690</t>
  </si>
  <si>
    <t>QATAR 9 3/4 06/15/30</t>
  </si>
  <si>
    <t>US760942BB71</t>
  </si>
  <si>
    <t>URUGUA 4 3/8 10/27/27</t>
  </si>
  <si>
    <t>US91087BAY65</t>
  </si>
  <si>
    <t>MEX 5 05/07/29</t>
  </si>
  <si>
    <t>USP3143NBR46</t>
  </si>
  <si>
    <t>CDEL 6.3 09/08/53</t>
  </si>
  <si>
    <t>US168863DW59</t>
  </si>
  <si>
    <t>CHILE 4 01/31/52</t>
  </si>
  <si>
    <t>XS2159975700</t>
  </si>
  <si>
    <t>KSA 3 1/4 10/22/30</t>
  </si>
  <si>
    <t>US91087BAC46</t>
  </si>
  <si>
    <t>MEX 4.15 03/28/27</t>
  </si>
  <si>
    <t>XS3061312909</t>
  </si>
  <si>
    <t>ADQABU 5 05/06/35</t>
  </si>
  <si>
    <t>XS2386638733</t>
  </si>
  <si>
    <t>ADGB 1 7/8 09/15/31</t>
  </si>
  <si>
    <t>XS2684502623</t>
  </si>
  <si>
    <t>UAE 4.917 09/25/33</t>
  </si>
  <si>
    <t>US91087BAF76</t>
  </si>
  <si>
    <t>MEX 4 1/2 04/22/29</t>
  </si>
  <si>
    <t>USP3143NBP89</t>
  </si>
  <si>
    <t>CDEL 5 1/8 02/02/33</t>
  </si>
  <si>
    <t>XS2600248335</t>
  </si>
  <si>
    <t>TAQAUH 4.696 04/24/33</t>
  </si>
  <si>
    <t>XS2386638816</t>
  </si>
  <si>
    <t>ADGB 3 09/15/51</t>
  </si>
  <si>
    <t>US715638AU64</t>
  </si>
  <si>
    <t>PERU 6.55 03/14/37</t>
  </si>
  <si>
    <t>USP3143NBK92</t>
  </si>
  <si>
    <t>CDEL 3 3/4 01/15/31</t>
  </si>
  <si>
    <t>XS2348236980</t>
  </si>
  <si>
    <t>ADGB 1 5/8 06/02/28</t>
  </si>
  <si>
    <t>US168863DX33</t>
  </si>
  <si>
    <t>CHILE 2 3/4 01/31/27</t>
  </si>
  <si>
    <t>US91087BAN01</t>
  </si>
  <si>
    <t>MEX 3.771 05/24/61</t>
  </si>
  <si>
    <t>US91086QAG38</t>
  </si>
  <si>
    <t>MEX 8.3 08/15/31</t>
  </si>
  <si>
    <t>US91087BAK61</t>
  </si>
  <si>
    <t>MEX 4 3/4 04/27/32</t>
  </si>
  <si>
    <t>XS0468535637</t>
  </si>
  <si>
    <t>QATAR 6.4 01/20/40</t>
  </si>
  <si>
    <t>US034863AW07</t>
  </si>
  <si>
    <t>AALLN 5 5/8 04/01/30</t>
  </si>
  <si>
    <t>XS2492385203</t>
  </si>
  <si>
    <t>UAE 4.951 07/07/52</t>
  </si>
  <si>
    <t>XS2434896010</t>
  </si>
  <si>
    <t>ROMANI 3 5/8 03/27/32</t>
  </si>
  <si>
    <t>US715638AP79</t>
  </si>
  <si>
    <t>PERU 8 3/4 11/21/33</t>
  </si>
  <si>
    <t>XS2707149600</t>
  </si>
  <si>
    <t>MUBAUH 5 7/8 05/01/34</t>
  </si>
  <si>
    <t>US034863BD17</t>
  </si>
  <si>
    <t>AALLN 5 1/2 05/02/33</t>
  </si>
  <si>
    <t>US034863AX89</t>
  </si>
  <si>
    <t>AALLN 2 5/8 09/10/30</t>
  </si>
  <si>
    <t>US91087BAQ32</t>
  </si>
  <si>
    <t>MEX 4.28 08/14/41</t>
  </si>
  <si>
    <t>US168863DL94</t>
  </si>
  <si>
    <t>CHILE 3 1/2 01/25/50</t>
  </si>
  <si>
    <t>XS2075923313</t>
  </si>
  <si>
    <t>MUBAUH 2 7/8 11/07/29</t>
  </si>
  <si>
    <t>USG0446NAR55</t>
  </si>
  <si>
    <t>XS2711511795</t>
  </si>
  <si>
    <t>BGOSK 6 1/4 10/31/28</t>
  </si>
  <si>
    <t>XS2577134401</t>
  </si>
  <si>
    <t>KSA 4 3/4 01/18/28</t>
  </si>
  <si>
    <t>US760942AS16</t>
  </si>
  <si>
    <t>URUGUA 7 5/8 03/21/36</t>
  </si>
  <si>
    <t>US91087BAE02</t>
  </si>
  <si>
    <t>MEX 3 3/4 01/11/28</t>
  </si>
  <si>
    <t>US77586RAY62</t>
  </si>
  <si>
    <t>USP3143NAY06</t>
  </si>
  <si>
    <t>CDEL 3 5/8 08/01/27</t>
  </si>
  <si>
    <t>XS2408613136</t>
  </si>
  <si>
    <t>KSA 3 1/4 11/17/51</t>
  </si>
  <si>
    <t>US168863DP09</t>
  </si>
  <si>
    <t>CHILE 2.45 01/31/31</t>
  </si>
  <si>
    <t>US168863DS48</t>
  </si>
  <si>
    <t>CHILE 3.1 05/07/41</t>
  </si>
  <si>
    <t>USG0446NAY07</t>
  </si>
  <si>
    <t>XS2624479288</t>
  </si>
  <si>
    <t>MUBAUH 4 3/8 11/22/33</t>
  </si>
  <si>
    <t>XS2397083820</t>
  </si>
  <si>
    <t>UAE 2 7/8 10/19/41</t>
  </si>
  <si>
    <t>XS1405781854</t>
  </si>
  <si>
    <t>QATAR 4 5/8 06/02/46</t>
  </si>
  <si>
    <t>US91087BAG59</t>
  </si>
  <si>
    <t>MEX 4 1/2 01/31/50</t>
  </si>
  <si>
    <t>US833636AP80</t>
  </si>
  <si>
    <t>US91087BAU44</t>
  </si>
  <si>
    <t>MEX 5.4 02/09/28</t>
  </si>
  <si>
    <t>XS2397053757</t>
  </si>
  <si>
    <t>UAE 2 10/19/31</t>
  </si>
  <si>
    <t>US168863CA49</t>
  </si>
  <si>
    <t>CHILE 3 1/8 01/21/26</t>
  </si>
  <si>
    <t>XS2548892020</t>
  </si>
  <si>
    <t>KSA 5 1/2 10/25/32</t>
  </si>
  <si>
    <t>XS1435072464</t>
  </si>
  <si>
    <t>TAQAUH 4 3/8 06/22/26</t>
  </si>
  <si>
    <t>XS2898198358</t>
  </si>
  <si>
    <t>ADNOCM 4 1/4 09/11/29</t>
  </si>
  <si>
    <t>USP3143NBQ62</t>
  </si>
  <si>
    <t>CDEL 5.95 01/08/34</t>
  </si>
  <si>
    <t>USP30179AR95</t>
  </si>
  <si>
    <t>CFELEC 6 1/8 06/16/45</t>
  </si>
  <si>
    <t>US917288BA96</t>
  </si>
  <si>
    <t>URUGUA 7 7/8 01/15/33</t>
  </si>
  <si>
    <t>US80414L2X29</t>
  </si>
  <si>
    <t>US80414L2N47</t>
  </si>
  <si>
    <t>US034863AR12</t>
  </si>
  <si>
    <t>AALLN 4 3/4 04/10/27</t>
  </si>
  <si>
    <t>XS2176021223</t>
  </si>
  <si>
    <t>MUBAUH 2 7/8 05/21/30</t>
  </si>
  <si>
    <t>USP30179AK43</t>
  </si>
  <si>
    <t>CFELEC 5 3/4 02/14/42</t>
  </si>
  <si>
    <t>XS2057865979</t>
  </si>
  <si>
    <t>ADGB 2 1/2 09/30/29</t>
  </si>
  <si>
    <t>US715638DP43</t>
  </si>
  <si>
    <t>PERU 1.862 12/01/32</t>
  </si>
  <si>
    <t>US200447AK60</t>
  </si>
  <si>
    <t>XS1959337582</t>
  </si>
  <si>
    <t>QATAR 4 03/14/29</t>
  </si>
  <si>
    <t>US168863DQ81</t>
  </si>
  <si>
    <t>CHILE 3.1 01/22/61</t>
  </si>
  <si>
    <t>XS2324826994</t>
  </si>
  <si>
    <t>MUBAUH 3.4 06/07/51</t>
  </si>
  <si>
    <t>USP3143NBB93</t>
  </si>
  <si>
    <t>CDEL 4 3/8 02/05/49</t>
  </si>
  <si>
    <t>US91086QAN88</t>
  </si>
  <si>
    <t>MEX 7 1/2 04/08/33</t>
  </si>
  <si>
    <t>XS2822506759</t>
  </si>
  <si>
    <t>QATAR 4 5/8 05/29/29</t>
  </si>
  <si>
    <t>XS2333388184</t>
  </si>
  <si>
    <t>TAQAUH 2 04/29/28</t>
  </si>
  <si>
    <t>XS2109766126</t>
  </si>
  <si>
    <t>KSA 2 1/2 02/03/27</t>
  </si>
  <si>
    <t>XS1807174393</t>
  </si>
  <si>
    <t>QATAR 4 1/2 04/23/28</t>
  </si>
  <si>
    <t>US715638DT64</t>
  </si>
  <si>
    <t>PERU 3.55 03/10/51</t>
  </si>
  <si>
    <t>XS0272949016</t>
  </si>
  <si>
    <t>TAQAUH 6 1/2 10/27/36</t>
  </si>
  <si>
    <t>USN5946FAD98</t>
  </si>
  <si>
    <t>PRXNA 4.85 07/06/27</t>
  </si>
  <si>
    <t>US40052VAG95</t>
  </si>
  <si>
    <t>BIMBOA 4 09/06/49</t>
  </si>
  <si>
    <t>US200447AP57</t>
  </si>
  <si>
    <t>USG0446NAZ71</t>
  </si>
  <si>
    <t>US168863CE60</t>
  </si>
  <si>
    <t>CHILE 3.86 06/21/47</t>
  </si>
  <si>
    <t>XS2492384818</t>
  </si>
  <si>
    <t>UAE 4.05 07/07/32</t>
  </si>
  <si>
    <t>XS2918565271</t>
  </si>
  <si>
    <t>QATAR 4 1/2 02/27/28</t>
  </si>
  <si>
    <t>US715638DR09</t>
  </si>
  <si>
    <t>PERU 3.23 07/28/2121</t>
  </si>
  <si>
    <t>XS2280637039</t>
  </si>
  <si>
    <t>MEX 3 3/4 04/19/2071</t>
  </si>
  <si>
    <t>USP29595AE80</t>
  </si>
  <si>
    <t>CFELEC 4.677 02/09/51</t>
  </si>
  <si>
    <t>USP3143NBE33</t>
  </si>
  <si>
    <t>CDEL 3 09/30/29</t>
  </si>
  <si>
    <t>US91087BAL45</t>
  </si>
  <si>
    <t>MEX 5 04/27/51</t>
  </si>
  <si>
    <t>US80414L3B99</t>
  </si>
  <si>
    <t>XS0701227075</t>
  </si>
  <si>
    <t>MUBAUH 6 7/8 11/01/41</t>
  </si>
  <si>
    <t>USP3143NBF08</t>
  </si>
  <si>
    <t>CDEL 3.7 01/30/50</t>
  </si>
  <si>
    <t>XS2327851874</t>
  </si>
  <si>
    <t>CHILE 3 1/2 04/15/53</t>
  </si>
  <si>
    <t>XS2333388937</t>
  </si>
  <si>
    <t>TAQAUH 3.4 04/29/51</t>
  </si>
  <si>
    <t>XS2397055703</t>
  </si>
  <si>
    <t>UAE 3 1/4 10/19/61</t>
  </si>
  <si>
    <t>US168863DY16</t>
  </si>
  <si>
    <t>CHILE 4.34 03/07/42</t>
  </si>
  <si>
    <t>US715638DS81</t>
  </si>
  <si>
    <t>PERU 3.3 03/11/41</t>
  </si>
  <si>
    <t>XS0615236188</t>
  </si>
  <si>
    <t>QATAR 5 3/4 01/20/42</t>
  </si>
  <si>
    <t>USG0446NAL85</t>
  </si>
  <si>
    <t>US91086QBF46</t>
  </si>
  <si>
    <t>MEX 4.6 01/23/46</t>
  </si>
  <si>
    <t>US00388WAP68</t>
  </si>
  <si>
    <t>TAQAUH 4 3/4 03/09/37</t>
  </si>
  <si>
    <t>US06237MAD56</t>
  </si>
  <si>
    <t>USP3143NBH63</t>
  </si>
  <si>
    <t>CDEL 3.15 01/14/30</t>
  </si>
  <si>
    <t>USP3143NAS38</t>
  </si>
  <si>
    <t>CDEL 5 5/8 10/18/43</t>
  </si>
  <si>
    <t>US91087BAB62</t>
  </si>
  <si>
    <t>MEX 4.35 01/15/47</t>
  </si>
  <si>
    <t>US034863BC34</t>
  </si>
  <si>
    <t>AALLN 4 3/4 03/16/52</t>
  </si>
  <si>
    <t>US445545AR73</t>
  </si>
  <si>
    <t>XS2542162248</t>
  </si>
  <si>
    <t>PIFKSA 5 1/4 10/13/32</t>
  </si>
  <si>
    <t>US168863DU93</t>
  </si>
  <si>
    <t>CHILE 3 1/4 09/21/2071</t>
  </si>
  <si>
    <t>XS2109766472</t>
  </si>
  <si>
    <t>KSA 2 3/4 02/03/32</t>
  </si>
  <si>
    <t>XS1808738212</t>
  </si>
  <si>
    <t>TAQAUH 4 7/8 04/23/30</t>
  </si>
  <si>
    <t>XS2176018609</t>
  </si>
  <si>
    <t>MUBAUH 2 1/2 05/21/26</t>
  </si>
  <si>
    <t>US200447AL44</t>
  </si>
  <si>
    <t>XS2546781985</t>
  </si>
  <si>
    <t>MUBAUH 5 1/2 04/28/33</t>
  </si>
  <si>
    <t>XS2907161363</t>
  </si>
  <si>
    <t>ADQABU 4 3/8 10/02/31</t>
  </si>
  <si>
    <t>US00723L2C25</t>
  </si>
  <si>
    <t>USP4R52QAC92</t>
  </si>
  <si>
    <t>BIMBOA 4.7 11/10/47</t>
  </si>
  <si>
    <t>XS2911046147</t>
  </si>
  <si>
    <t>XS2175968580</t>
  </si>
  <si>
    <t>MUBAUH 3.95 05/21/50</t>
  </si>
  <si>
    <t>US80413TBL26</t>
  </si>
  <si>
    <t>US80413TBH14</t>
  </si>
  <si>
    <t>USG0446NAP99</t>
  </si>
  <si>
    <t>AALLN 4 1/2 03/15/28</t>
  </si>
  <si>
    <t>US77586RAQ39</t>
  </si>
  <si>
    <t>US80414L2D64</t>
  </si>
  <si>
    <t>US80413TBJ79</t>
  </si>
  <si>
    <t>US80413TBF57</t>
  </si>
  <si>
    <t>US21987BBM90</t>
  </si>
  <si>
    <t>USP8718AAN65</t>
  </si>
  <si>
    <t>SQM 3 1/2 09/10/51</t>
  </si>
  <si>
    <t>USP4949BAP96</t>
  </si>
  <si>
    <t>XS1904648570</t>
  </si>
  <si>
    <t>MUBAUH 4 1/2 11/07/28</t>
  </si>
  <si>
    <t>US74727PBE07</t>
  </si>
  <si>
    <t>US06237MAC73</t>
  </si>
  <si>
    <t>US200447AH32</t>
  </si>
  <si>
    <t>US715638DW93</t>
  </si>
  <si>
    <t>PERU 3.6 01/15/2072</t>
  </si>
  <si>
    <t>US91087BAD29</t>
  </si>
  <si>
    <t>MEX 4.6 02/10/48</t>
  </si>
  <si>
    <t>USG0446NAS39</t>
  </si>
  <si>
    <t>USP3143NAZ70</t>
  </si>
  <si>
    <t>CDEL 4 1/2 08/01/47</t>
  </si>
  <si>
    <t>US74727PAY79</t>
  </si>
  <si>
    <t>US80414L2P94</t>
  </si>
  <si>
    <t>XS2455984679</t>
  </si>
  <si>
    <t>MUBAUH 3 3/8 03/28/32</t>
  </si>
  <si>
    <t>US62856RAD70</t>
  </si>
  <si>
    <t>US80413TBG31</t>
  </si>
  <si>
    <t>US21987BBK35</t>
  </si>
  <si>
    <t>US21987BBH06</t>
  </si>
  <si>
    <t>US034863AU41</t>
  </si>
  <si>
    <t>US21987BAR96</t>
  </si>
  <si>
    <t>CDEL 4 1/4 07/17/42</t>
  </si>
  <si>
    <t>US77586RAW07</t>
  </si>
  <si>
    <t>USP3143NAQ71</t>
  </si>
  <si>
    <t>US445545AS56</t>
  </si>
  <si>
    <t>US74727PBB67</t>
  </si>
  <si>
    <t>US445545AT30</t>
  </si>
  <si>
    <t>US77586RAR12</t>
  </si>
  <si>
    <t>US29135LAJ98</t>
  </si>
  <si>
    <t>US77586RAS94</t>
  </si>
  <si>
    <t>US200447AJ97</t>
  </si>
  <si>
    <t>US21987BBL18</t>
  </si>
  <si>
    <t>USP3143NAU83</t>
  </si>
  <si>
    <t>CDEL 4 7/8 11/04/44</t>
  </si>
  <si>
    <t>US80414L2Q77</t>
  </si>
  <si>
    <t>US445545AU03</t>
  </si>
  <si>
    <t>XS2133064480</t>
  </si>
  <si>
    <t>CFELEC 4.05 03/20/50</t>
  </si>
  <si>
    <t>US74365PAE88</t>
  </si>
  <si>
    <t>US74365PAJ75</t>
  </si>
  <si>
    <t>US833636AN33</t>
  </si>
  <si>
    <t>US80413TBE82</t>
  </si>
  <si>
    <t>US445545AP18</t>
  </si>
  <si>
    <t>US00402AAA97</t>
  </si>
  <si>
    <t>US77586RAU41</t>
  </si>
  <si>
    <t>US31424EAC66</t>
  </si>
  <si>
    <t>XS1598828298</t>
  </si>
  <si>
    <t>MUBAUH 3 3/4 04/19/29</t>
  </si>
  <si>
    <t>US80413TAW99</t>
  </si>
  <si>
    <t>US74365PAF53</t>
  </si>
  <si>
    <t>US74738PTP35</t>
  </si>
  <si>
    <t>US77586RAT77</t>
  </si>
  <si>
    <t>US74365PAA66</t>
  </si>
  <si>
    <t>US80414L2F13</t>
  </si>
  <si>
    <t>US74365PAG37</t>
  </si>
  <si>
    <t>US74727PAE16</t>
  </si>
  <si>
    <t>US00388WAM38</t>
  </si>
  <si>
    <t>US00402D2C80</t>
  </si>
  <si>
    <t>US74365PAD06</t>
  </si>
  <si>
    <t>US29134WAB37</t>
  </si>
  <si>
    <t>US74727PBD24</t>
  </si>
  <si>
    <t>US77586RAK68</t>
  </si>
  <si>
    <t>USG0446NAX24</t>
  </si>
  <si>
    <t>US74738PLV84</t>
  </si>
  <si>
    <t>US445545AM86</t>
  </si>
  <si>
    <t>US74727PAV31</t>
  </si>
  <si>
    <t>US29135LAU44</t>
  </si>
  <si>
    <t>US06237MAA18</t>
  </si>
  <si>
    <t>US29135LAM28</t>
  </si>
  <si>
    <t>US40052VAE48</t>
  </si>
  <si>
    <t>US74727PAX96</t>
  </si>
  <si>
    <t>US80413TAL35</t>
  </si>
  <si>
    <t>US80414L2K08</t>
  </si>
  <si>
    <t>US80413TAV17</t>
  </si>
  <si>
    <t>US445545AQ90</t>
  </si>
  <si>
    <t>US29135LAT70</t>
  </si>
  <si>
    <t>US21987BBA52</t>
  </si>
  <si>
    <t>US00388WAK71</t>
  </si>
  <si>
    <t>US77586RAP55</t>
  </si>
  <si>
    <t>US31424EAE23</t>
  </si>
  <si>
    <t>US200447AC45</t>
  </si>
  <si>
    <t>US00723L2B42</t>
  </si>
  <si>
    <t>US21987BBG23</t>
  </si>
  <si>
    <t>US80413TBD00</t>
  </si>
  <si>
    <t>XS1773650681</t>
  </si>
  <si>
    <t>CFELEC 5 03/12/48</t>
  </si>
  <si>
    <t>US77586RAH30</t>
  </si>
  <si>
    <t>US833636AL76</t>
  </si>
  <si>
    <t>US80413TAB52</t>
  </si>
  <si>
    <t>US909378AC51</t>
  </si>
  <si>
    <t>US445545AN69</t>
  </si>
  <si>
    <t>US74727PAU57</t>
  </si>
  <si>
    <t>US00723L2A68</t>
  </si>
  <si>
    <t>US74738PAK49</t>
  </si>
  <si>
    <t>US29135LAB62</t>
  </si>
  <si>
    <t>US74727PBA84</t>
  </si>
  <si>
    <t>US21987BBC19</t>
  </si>
  <si>
    <t>US77586RAN08</t>
  </si>
  <si>
    <t>US80413TAC36</t>
  </si>
  <si>
    <t>US00402D2D63</t>
  </si>
  <si>
    <t>US06237MAB90</t>
  </si>
  <si>
    <t>US80413TBC27</t>
  </si>
  <si>
    <t>US80413TAQ22</t>
  </si>
  <si>
    <t>US31424EAA01</t>
  </si>
  <si>
    <t>US21987BBF40</t>
  </si>
  <si>
    <t>US80413TAR05</t>
  </si>
  <si>
    <t>US00388WAG69</t>
  </si>
  <si>
    <t>US77586RAF73</t>
  </si>
  <si>
    <t>US21987BAY48</t>
  </si>
  <si>
    <t>US77586RAC43</t>
  </si>
  <si>
    <t>US200447AE01</t>
  </si>
  <si>
    <t>US00388WAC55</t>
  </si>
  <si>
    <t>US80413TBK43</t>
  </si>
  <si>
    <t>US29135LAS97</t>
  </si>
  <si>
    <t>US29135LAN01</t>
  </si>
  <si>
    <t>US21987BBB36</t>
  </si>
  <si>
    <t>US80413TAP49</t>
  </si>
  <si>
    <t>US80414L2E48</t>
  </si>
  <si>
    <t>US80413TAE91</t>
  </si>
  <si>
    <t>US80413TAU34</t>
  </si>
  <si>
    <t>US80413TAT60</t>
  </si>
  <si>
    <t>US80414L2M63</t>
  </si>
  <si>
    <t>US29135LAF76</t>
  </si>
  <si>
    <t>US80413TAF66</t>
  </si>
  <si>
    <t>US80413TAK51</t>
  </si>
  <si>
    <t>US29135LAH33</t>
  </si>
  <si>
    <t>US80414L2L80</t>
  </si>
  <si>
    <t>US00388WAJ09</t>
  </si>
  <si>
    <t>US31424EAD40</t>
  </si>
  <si>
    <t>US74727PAR29</t>
  </si>
  <si>
    <t>US21987BAT52</t>
  </si>
  <si>
    <t>US74738PUJ55</t>
  </si>
  <si>
    <t>US00388WAQ42</t>
  </si>
  <si>
    <t>US55285GAD60</t>
  </si>
  <si>
    <t>US21987BAZ13</t>
  </si>
  <si>
    <t>US80413TAJ88</t>
  </si>
  <si>
    <t>US77586RAJ95</t>
  </si>
  <si>
    <t>US29135LAQ32</t>
  </si>
  <si>
    <t>US00386SAB88</t>
  </si>
  <si>
    <t>US21987BAU26</t>
  </si>
  <si>
    <t>XS1638817996</t>
  </si>
  <si>
    <t>CFELEC 5.15 07/13/47</t>
  </si>
  <si>
    <t>US21987BAW81</t>
  </si>
  <si>
    <t>US80413TAH23</t>
  </si>
  <si>
    <t>XS1798294523</t>
  </si>
  <si>
    <t>CDEL 4.85 05/18/48</t>
  </si>
  <si>
    <t>US29135LAR15</t>
  </si>
  <si>
    <t>US80413TAZ21</t>
  </si>
  <si>
    <t>US80413TBA60</t>
  </si>
  <si>
    <t>US44985GAE17</t>
  </si>
  <si>
    <t>US00402AAB70</t>
  </si>
  <si>
    <t>US00402D2A25</t>
  </si>
  <si>
    <t>US55285GAE44</t>
  </si>
  <si>
    <t>US55276VAJ17</t>
  </si>
  <si>
    <t>US29135LAE02</t>
  </si>
  <si>
    <t>US21987BAX64</t>
  </si>
  <si>
    <t>US29135LAA89</t>
  </si>
  <si>
    <t>US55276VAG77</t>
  </si>
  <si>
    <t>US29135LAP58</t>
  </si>
  <si>
    <t>US31424EAB83</t>
  </si>
  <si>
    <t>US77586RAL42</t>
  </si>
  <si>
    <t>US55285GAB05</t>
  </si>
  <si>
    <t>US74727PAL58</t>
  </si>
  <si>
    <t>US00402D2B08</t>
  </si>
  <si>
    <t>US909378AA95</t>
  </si>
  <si>
    <t>US55276VAK89</t>
  </si>
  <si>
    <t>US91911TAT07</t>
  </si>
  <si>
    <t>VALEBZ 6 02/25/56</t>
  </si>
  <si>
    <t>USG9317UAD75</t>
  </si>
  <si>
    <t>XS3216220544</t>
  </si>
  <si>
    <t>QATAR 3 5/8 11/10/28</t>
  </si>
  <si>
    <t>US74738PZ506</t>
  </si>
  <si>
    <t>US91087BBJ89</t>
  </si>
  <si>
    <t>MEX 4 3/4 03/22/31</t>
  </si>
  <si>
    <t>US91087BBK52</t>
  </si>
  <si>
    <t>MEX 5 3/8 03/22/33</t>
  </si>
  <si>
    <t>US91087BBL36</t>
  </si>
  <si>
    <t>MEX 5 5/8 09/22/35</t>
  </si>
  <si>
    <t>US29135LAW00</t>
  </si>
  <si>
    <t>ADGB 4 1/4 10/02/35</t>
  </si>
  <si>
    <t>XS3195078681</t>
  </si>
  <si>
    <t>US29135LAV27</t>
  </si>
  <si>
    <t>ADGB 3 5/8 10/02/28</t>
  </si>
  <si>
    <t>XS3195078509</t>
  </si>
  <si>
    <t>US55285GAF19</t>
  </si>
  <si>
    <t>MUBAUH 4 5/8 10/16/35</t>
  </si>
  <si>
    <t>XS3192951781</t>
  </si>
  <si>
    <t>XS3181494538</t>
  </si>
  <si>
    <t>PIFKSA 5 09/15/35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</si>
</sst>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7"/>
  <sheetViews>
    <sheetView workbookViewId="0">
      <selection activeCell="F1" sqref="F1"/>
    </sheetView>
  </sheetViews>
  <sheetFormatPr defaultRowHeight="14.4" x14ac:dyDescent="0.3"/>
  <cols>
    <col min="1" max="1" width="22.109375" bestFit="1" customWidth="1"/>
    <col min="2" max="2" width="14.88671875" bestFit="1" customWidth="1"/>
    <col min="3" max="3" width="20.77734375" bestFit="1" customWidth="1"/>
    <col min="4" max="4" width="15.109375" bestFit="1" customWidth="1"/>
    <col min="5" max="5" width="36.21875" bestFit="1" customWidth="1"/>
  </cols>
  <sheetData>
    <row r="1" spans="1:6" x14ac:dyDescent="0.3">
      <c r="A1" t="s">
        <v>1</v>
      </c>
      <c r="B1" t="s">
        <v>0</v>
      </c>
      <c r="C1" t="str">
        <f>""""&amp;A1&amp;""""</f>
        <v>"CFELEC 6.45 01/24/35"</v>
      </c>
      <c r="D1" t="str">
        <f>""""&amp;B1&amp;""""</f>
        <v>"USP30179CR77"</v>
      </c>
      <c r="E1" t="str">
        <f>C1&amp;": "&amp;D1</f>
        <v>"CFELEC 6.45 01/24/35": "USP30179CR77"</v>
      </c>
      <c r="F1" t="str">
        <f>_xlfn.TEXTJOIN(", ",TRUE,E:E)</f>
        <v>"CFELEC 6.45 01/24/35": "USP30179CR77", "REPHUN 6 3/4 09/23/55": "XS3101499773", "KSA 5 3/4 01/16/54": "XS2747599509", "REPHUN 6 09/26/35": "XS3101499260", "KSA 5 5/8 01/13/35": "XS2974969482", "ARAMCO 6 3/8 06/02/55": "XS3084345241", "ARAMCO 5 3/8 06/02/35": "XS3084344947", "REPHUN 5 3/8 09/26/30": "XS3101499187", "ARAMCO 5 7/8 07/17/64": "XS2861555964", "VALEBZ 3 3/4 07/08/30": "US91911TAQ67", "ROMANI 5 3/4 03/24/35": "XS2908633683", "ARAMCO 5 1/4 07/17/34": "XS2861550817", "MEX 6.35 02/09/35": "US91087BAV27", "PIFKSA 5 3/8 01/29/54": "XS2755904872", "VALEBZ 6 1/8 06/12/33": "US91911TAR41", "PERU 5 1/2 03/30/36": "US715638FC12", "ARAMCO 4 3/4 06/02/30": "XS3084344863", "ROMANI 5 3/4 09/16/30": "XS3114901336", "ROMANI 7 5/8 01/17/53": "XS2571924070", "POLAND 5 3/8 02/12/35": "US857524AH50", "MEX 7 3/8 05/13/55": "US91087BBD10", "VALEBZ 6.4 06/28/54": "US91911TAS24", "KSA 5 01/16/34": "XS2747599095", "KSA 5 1/8 01/13/28": "XS2974923497", "ARAMCO 5 3/4 07/17/54": "XS2861551898", "ROMANI 6 5/8 05/16/36": "XS3114897633", "MEX 6 7/8 05/13/37": "US91087BBC37", "KSA 4 1/2 10/26/46": "XS1508675508", "POLAND 5 1/2 03/18/54": "US731011AZ55", "POLAND 5 1/8 09/18/34": "US731011AY80", "MEX 5.85 07/02/32": "US91087BBE92", "POLAND 4 7/8 02/12/30": "US857524AF94", "ROMANI 7 1/2 02/10/37": "XS2999564581", "PIFKSA 4 7/8 02/14/35": "XS2585988061", "ROMANI 7 1/8 01/17/33": "XS2571923007", "KSA 5 1/4 01/16/50": "XS1936302949", "KSA 5 01/18/53": "XS2577136109", "URUGUA 5.1 06/18/50": "US760942BA98", "REPHUN 3 1/8 09/21/51": "XS2388586583", "ARAMCO 3 1/2 04/16/29": "XS1982113208", "ROMANI 6 1/8 01/22/44": "US77586TAE64", "MEX 6 05/07/36": "US91087BAZ31", "ROMANI 6 05/25/34": "XS2485249523", "ROMANI 5 7/8 01/30/29": "XS2756521212", "POLAND 5 1/2 04/04/53": "US731011AW25", "MEX 6 5/8 01/29/38": "US91087BBF67", "ADGB 5 1/2 04/30/54": "XS2811094213", "POLAND 5 3/4 11/16/32": "US857524AE20", "ROMANI 6 3/8 01/30/34": "XS2756521303", "MEX 5 3/4 10/12/2110": "US91086QAZ19", "KSA 4 3/4 01/16/30": "XS2747598444", "CFELEC 3 7/8 07/26/33": "USP30179BK34", "ADQABU 5 1/4 10/02/54": "XS2907245208", "REPHUN 7 5/8 03/29/41": "US445545AF36", "ROMANI 4 02/14/51": "XS2201851685", "ADGB 3 1/8 05/03/26": "XS1402929746", "MEX 3 1/2 02/12/34": "US91087BAR15", "POLAND 4 5/8 03/18/29": "US731011AX08", "ADNOCM 5 1/8 09/11/54": "XS2898198515", "ARAMCO 4 1/4 04/16/39": "XS1982113463", "REPHUN 6 1/4 09/22/32": "XS2574267261", "REPHUN 6 3/4 09/25/52": "XS2574267345", "PIFKSA 5 1/8 02/14/53": "XS2585988145", "ADGB 5 04/30/34": "XS2811094486", "ADGB 4 7/8 04/30/29": "XS2811094130", "REPHUN 5 1/2 03/26/36": "XS2744128369", "MEX 6 05/13/30": "US91087BBB53", "ADQABU 5 3/8 05/08/29": "XS2816006303", "MEX 4 3/4 03/08/44": "US91086QBB32", "VALEBZ 6 7/8 11/21/36": "US91911TAH68", "SQM 5 1/2 09/10/34": "USP8718AAQ96", "PERU 5 7/8 08/08/54": "US715638EC21", "CFELEC 4.688 05/15/29": "USP30179BQ04", "REPHUN 5 1/2 06/16/34": "XS2010026487", "PIFKSA 5 1/4 01/29/30": "XS2987801359", "CHILE 4.95 01/05/36": "US168863DZ80", "PERU 6.2 06/30/55": "US715638FD94", "ROMANI 6 5/8 02/17/28": "XS2571922884", "KSA 5 04/17/49": "XS1791939736", "MEX 6.05 01/11/40": "US91086QAV05", "QATAR 4 3/4 05/29/34": "XS2822506833", "ARAMCO 2 1/4 11/24/30": "XS2262853265", "KSA 5 3/8 01/13/31": "XS2974968161", "PRXNA 4.027 08/03/50": "USN7163RAD54", "PRXNA 3.68 01/21/30": "USN7163RAA16", "REPHUN 6 3/4 09/23/55": "US445545AX42", "REPHUN 6 1/8 05/22/28": "XS2574267188", "KSA 4 7/8 07/18/33": "XS2577135127", "CHILE 3 1/2 01/31/34": "US168863DV76", "ROMANI 5 1/8 06/15/48": "XS1837994794", "MEX 6.4 05/07/54": "US91087BBA70", "PERU 5 5/8 11/18/50": "US715638BM30", "ROMANI 5 1/4 11/25/27": "XS2485248806", "CHILE 5.65 01/13/37": "US168863EE43", "POLAND 4 7/8 10/04/33": "US731011AV42", "URUGUA 4 3/8 01/23/31": "US917288BK78", "QATAR 4 7/8 02/27/35": "XS2918565198", "CDEL 6.33 01/13/35": "USP3143NBV57", "MEX 3 1/4 04/16/30": "US91087BAH33", "TAQAUH 4 3/8 10/09/31": "XS2911044019", "QATAR 4.4 04/16/50": "XS2155352748", "ADGB 3 1/8 09/30/49": "XS2057866191", "KSA 3 5/8 03/04/28": "XS1694217495", "CDEL 6.78 01/13/55": "USP3143NBW31", "BGOSK 5 3/4 07/09/34": "XS2851607403", "PIFKSA 5 01/29/29": "XS2755904526", "ADNOCM 4 1/2 09/11/34": "XS2898198432", "ADGB 4 1/8 10/11/47": "XS1696899035", "CFELEC 3.348 02/09/31": "USP29595AD08", "QATAR 5.103 04/23/48": "XS1807174559", "ARAMCO 3 1/2 11/24/70": "XS2262853422", "BGOSK 6 1/4 07/09/54": "XS2851609102", "KSA 3.45 02/02/61": "XS2294323386", "REPHUN 5 1/4 06/16/29": "XS2010026305", "ADGB 3 1/8 04/16/30": "XS2125308168", "ROMANI 3 02/27/27": "XS2434895988", "ADQABU 4 1/2 05/06/30": "XS3061310101", "URUGUA 5.442 02/14/37": "US760942BH42", "KSA 4 1/2 04/17/30": "XS1791939066", "KSA 4 3/8 04/16/29": "XS1936302865", "MEX 5.55 01/21/45": "US91086QBE70", "MEX 2.659 05/24/31": "US91087BAM28", "PIFKSA 4 3/4 02/14/30": "XS2585987683", "SQM 6 1/2 11/07/33": "USP8718AAP14", "KSA 3 1/4 10/26/26": "XS1508675417", "KSA 4 5/8 10/04/47": "XS1694218469", "MUBAUH 5.294 06/04/34": "XS2830445727", "ARAMCO 3 1/4 11/24/50": "XS2262853349", "KSA 3 3/4 01/21/55": "XS2109770151", "MEX 6.338 05/04/53": "US91087BAX82", "POLAND 3 1/4 04/06/26": "US731011AU68", "REPHUN 6 09/26/35": "US445545AW68", "ROMANI 3 02/14/31": "XS2201851172", "QATAR 4.817 03/14/49": "XS1959337749", "REPHUN 2 1/8 09/22/31": "XS2388586401", "ADQABU 5 1/2 05/08/34": "XS2816006725", "CHILE 5.33 01/05/54": "US168863EA21", "ADGB 1.7 03/02/31": "XS2225210413", "MEX 4 7/8 05/19/33": "US91087BAT70", "PRXNA 3.832 02/08/51": "USN7163RAQ67", "PIFKSA 5 1/4 01/29/34": "XS2755904799", "BGOSK 5 3/8 05/22/33": "XS2625207571", "KSA 4 1/2 04/22/60": "XS2159975882", "PERU 2.783 01/23/31": "US715638DF60", "URUGUA 5 3/4 10/28/34": "US760942BE11", "CHILE 4.85 01/22/29": "US168863EB04", "ARAMCO 4 3/8 04/16/49": "XS1982116136", "PRXNA 4.193 01/19/32": "US74365PAH10", "ADGB 2.7 09/02/70": "XS2225210330", "QATAR 3 3/4 04/16/30": "XS2155352664", "QATAR 3 1/4 06/02/26": "XS1405782159", "AALLN 5 3/4 04/05/34": "US034863BE99", "PERU 2.78 12/01/60": "US715638DQ26", "MEX 6 3/4 09/27/34": "US91086QAS75", "URUGUA 4 1/8 11/20/45": "US760942AY83", "ARAMCO 6 3/8 06/02/55": "US80414L3F04", "CDEL 6.44 01/26/36": "USP3143NBT02", "PRXNA 4.987 01/19/52": "USN7163RAY91", "ROMANI 6 5/8 05/16/36": "US77586RAX89", "CHILE 2.55 01/27/32": "US168863DN50", "ADGB 3 1/8 10/11/27": "XS1696892295", "ROMANI 5 3/4 03/24/35": "US77586RAV24", "PRXNA 3.061 07/13/31": "USN7163RAR41", "PERU 3 01/15/34": "US715638DU38", "CHILE 3.24 02/06/28": "US168863CF36", "ADGB 3 7/8 04/16/50": "XS2125308242", "PERU 5 3/8 02/08/35": "US715638EB48", "UAE 4.857 07/02/34": "XS2850662631", "PIFKSA 5 5/8 07/29/34": "XS2987801433", "POLAND 5 1/2 11/16/27": "US857524AD47", "PRXNA 4.193 01/19/32": "USN7163RAX19", "KSA 2 1/4 02/02/33": "XS2294322818", "MEX 4.4 02/12/52": "US91087BAS97", "CHILE 2.55 07/27/33": "US168863DT21", "PRXNA 3.257 01/19/27": "USN7163RAW36", "URUGUA 4.975 04/20/55": "US760942BD38", "MUBAUH 3.7 11/07/49": "XS2075924048", "REPHUN 5 3/8 09/26/30": "US445545AV85", "VALEBZ 6 7/8 11/10/39": "US91911TAK97", "PIFKSA 5 10/13/27": "XS2542162321", "QATAR 9 3/4 06/15/30": "XS0113419690", "URUGUA 4 3/8 10/27/27": "US760942BB71", "MEX 5 05/07/29": "US91087BAY65", "CDEL 6.3 09/08/53": "USP3143NBR46", "CHILE 4 01/31/52": "US168863DW59", "KSA 3 1/4 10/22/30": "XS2159975700", "MEX 4.15 03/28/27": "US91087BAC46", "ADQABU 5 05/06/35": "XS3061312909", "ADGB 1 7/8 09/15/31": "XS2386638733", "UAE 4.917 09/25/33": "XS2684502623", "MEX 4 1/2 04/22/29": "US91087BAF76", "CDEL 5 1/8 02/02/33": "USP3143NBP89", "TAQAUH 4.696 04/24/33": "XS2600248335", "ADGB 3 09/15/51": "XS2386638816", "PERU 6.55 03/14/37": "US715638AU64", "CDEL 3 3/4 01/15/31": "USP3143NBK92", "ADGB 1 5/8 06/02/28": "XS2348236980", "CHILE 2 3/4 01/31/27": "US168863DX33", "MEX 3.771 05/24/61": "US91087BAN01", "MEX 8.3 08/15/31": "US91086QAG38", "MEX 4 3/4 04/27/32": "US91087BAK61", "QATAR 6.4 01/20/40": "XS0468535637", "AALLN 5 5/8 04/01/30": "US034863AW07", "UAE 4.951 07/07/52": "XS2492385203", "ROMANI 3 5/8 03/27/32": "XS2434896010", "PERU 8 3/4 11/21/33": "US715638AP79", "MUBAUH 5 7/8 05/01/34": "XS2707149600", "AALLN 5 1/2 05/02/33": "US034863BD17", "AALLN 2 5/8 09/10/30": "US034863AX89", "MEX 4.28 08/14/41": "US91087BAQ32", "CHILE 3 1/2 01/25/50": "US168863DL94", "MUBAUH 2 7/8 11/07/29": "XS2075923313", "AALLN 5 5/8 04/01/30": "USG0446NAR55", "BGOSK 6 1/4 10/31/28": "XS2711511795", "KSA 4 3/4 01/18/28": "XS2577134401", "URUGUA 7 5/8 03/21/36": "US760942AS16", "MEX 3 3/4 01/11/28": "US91087BAE02", "ROMANI 5 3/4 09/16/30": "US77586RAY62", "CDEL 3 5/8 08/01/27": "USP3143NAY06", "KSA 3 1/4 11/17/51": "XS2408613136", "CHILE 2.45 01/31/31": "US168863DP09", "CHILE 3.1 05/07/41": "US168863DS48", "AALLN 5 1/2 05/02/33": "USG0446NAY07", "MUBAUH 4 3/8 11/22/33": "XS2624479288", "UAE 2 7/8 10/19/41": "XS2397083820", "QATAR 4 5/8 06/02/46": "XS1405781854", "MEX 4 1/2 01/31/50": "US91087BAG59", "SQM 5 1/2 09/10/34": "US833636AP80", "MEX 5.4 02/09/28": "US91087BAU44", "UAE 2 10/19/31": "XS2397053757", "CHILE 3 1/8 01/21/26": "US168863CA49", "KSA 5 1/2 10/25/32": "XS2548892020", "TAQAUH 4 3/8 06/22/26": "XS1435072464", "ADNOCM 4 1/4 09/11/29": "XS2898198358", "CDEL 5.95 01/08/34": "USP3143NBQ62", "CFELEC 6 1/8 06/16/45": "USP30179AR95", "URUGUA 7 7/8 01/15/33": "US917288BA96", "ARAMCO 4 3/4 06/02/30": "US80414L2X29", "ARAMCO 5 1/4 07/17/34": "US80414L2N47", "AALLN 4 3/4 04/10/27": "US034863AR12", "MUBAUH 2 7/8 05/21/30": "XS2176021223", "CFELEC 5 3/4 02/14/42": "USP30179AK43", "ADGB 2 1/2 09/30/29": "XS2057865979", "PERU 1.862 12/01/32": "US715638DP43", "CFELEC 3 7/8 07/26/33": "US200447AK60", "QATAR 4 03/14/29": "XS1959337582", "CHILE 3.1 01/22/61": "US168863DQ81", "MUBAUH 3.4 06/07/51": "XS2324826994", "CDEL 4 3/8 02/05/49": "USP3143NBB93", "MEX 7 1/2 04/08/33": "US91086QAN88", "QATAR 4 5/8 05/29/29": "XS2822506759", "TAQAUH 2 04/29/28": "XS2333388184", "KSA 2 1/2 02/03/27": "XS2109766126", "QATAR 4 1/2 04/23/28": "XS1807174393", "PERU 3.55 03/10/51": "US715638DT64", "TAQAUH 6 1/2 10/27/36": "XS0272949016", "PRXNA 4.85 07/06/27": "USN5946FAD98", "BIMBOA 4 09/06/49": "US40052VAG95", "CFELEC 6.45 01/24/35": "US200447AP57", "AALLN 5 3/4 04/05/34": "USG0446NAZ71", "CHILE 3.86 06/21/47": "US168863CE60", "UAE 4.05 07/07/32": "XS2492384818", "QATAR 4 1/2 02/27/28": "XS2918565271", "PERU 3.23 07/28/2121": "US715638DR09", "MEX 3 3/4 04/19/2071": "XS2280637039", "CFELEC 4.677 02/09/51": "USP29595AE80", "CDEL 3 09/30/29": "USP3143NBE33", "MEX 5 04/27/51": "US91087BAL45", "ARAMCO 5 3/8 06/02/35": "US80414L3B99", "MUBAUH 6 7/8 11/01/41": "XS0701227075", "CDEL 3.7 01/30/50": "USP3143NBF08", "CHILE 3 1/2 04/15/53": "XS2327851874", "TAQAUH 3.4 04/29/51": "XS2333388937", "UAE 3 1/4 10/19/61": "XS2397055703", "CHILE 4.34 03/07/42": "US168863DY16", "PERU 3.3 03/11/41": "US715638DS81", "QATAR 5 3/4 01/20/42": "XS0615236188", "AALLN 4 3/4 04/10/27": "USG0446NAL85", "MEX 4.6 01/23/46": "US91086QBF46", "TAQAUH 4 3/4 03/09/37": "US00388WAP68", "BGOSK 6 1/4 07/09/54": "US06237MAD56", "CDEL 3.15 01/14/30": "USP3143NBH63", "CDEL 5 5/8 10/18/43": "USP3143NAS38", "MEX 4.35 01/15/47": "US91087BAB62", "AALLN 4 3/4 03/16/52": "US034863BC34", "REPHUN 6 1/8 05/22/28": "US445545AR73", "PIFKSA 5 1/4 10/13/32": "XS2542162248", "CHILE 3 1/4 09/21/2071": "US168863DU93", "KSA 2 3/4 02/03/32": "XS2109766472", "TAQAUH 4 7/8 04/23/30": "XS1808738212", "MUBAUH 2 1/2 05/21/26": "XS2176018609", "CFELEC 4.688 05/15/29": "US200447AL44", "MUBAUH 5 1/2 04/28/33": "XS2546781985", "ADQABU 4 3/8 10/02/31": "XS2907161363", "ADNOCM 5 1/8 09/11/54": "US00723L2C25", "BIMBOA 4.7 11/10/47": "USP4R52QAC92", "TAQAUH 4 3/4 03/09/37": "XS2911046147", "MUBAUH 3.95 05/21/50": "XS2175968580", "KSA 5 5/8 01/13/35": "US80413TBL26", "KSA 5 3/4 01/16/54": "US80413TBH14", "AALLN 4 1/2 03/15/28": "USG0446NAP99", "ROMANI 6 5/8 02/17/28": "US77586RAQ39", "ARAMCO 3 1/2 04/16/29": "US80414L2D64", "KSA 5 1/8 01/13/28": "US80413TBJ79", "KSA 4 3/4 01/16/30": "US80413TBF57", "CDEL 6.78 01/13/55": "US21987BBM90", "SQM 3 1/2 09/10/51": "USP8718AAN65", "BIMBOA 4 09/06/49": "USP4949BAP96", "MUBAUH 4 1/2 11/07/28": "XS1904648570", "QATAR 4.4 04/16/50": "US74727PBE07", "BGOSK 5 3/4 07/09/34": "US06237MAC73", "CFELEC 3.348 02/09/31": "US200447AH32", "PERU 3.6 01/15/2072": "US715638DW93", "MEX 4.6 02/10/48": "US91087BAD29", "AALLN 2 5/8 09/10/30": "USG0446NAS39", "CDEL 4 1/2 08/01/47": "USP3143NAZ70", "QATAR 5.103 04/23/48": "US74727PAY79", "ARAMCO 5 3/4 07/17/54": "US80414L2P94", "MUBAUH 3 3/8 03/28/32": "XS2455984679", "PRXNA 4.85 07/06/27": "US62856RAD70", "KSA 5 01/16/34": "US80413TBG31", "CDEL 6.44 01/26/36": "US21987BBK35", "CDEL 6.3 09/08/53": "US21987BBH06", "AALLN 4 1/2 03/15/28": "US034863AU41", "CDEL 4 1/4 07/17/42": "US21987BAR96", "ROMANI 7 1/2 02/10/37": "US77586RAW07", "CDEL 4 1/4 07/17/42": "USP3143NAQ71", "REPHUN 6 1/4 09/22/32": "US445545AS56", "QATAR 4.817 03/14/49": "US74727PBB67", "REPHUN 6 3/4 09/25/52": "US445545AT30", "ROMANI 7 1/8 01/17/33": "US77586RAR12", "ADGB 3 7/8 04/16/50": "US29135LAJ98", "ROMANI 7 5/8 01/17/53": "US77586RAS94", "CFELEC 4.677 02/09/51": "US200447AJ97", "CDEL 6.33 01/13/35": "US21987BBL18", "CDEL 4 7/8 11/04/44": "USP3143NAU83", "ARAMCO 5 7/8 07/17/64": "US80414L2Q77", "REPHUN 5 1/2 03/26/36": "US445545AU03", "CFELEC 4.05 03/20/50": "XS2133064480", "PRXNA 3.832 02/08/51": "US74365PAE88", "PRXNA 4.987 01/19/52": "US74365PAJ75", "SQM 6 1/2 11/07/33": "US833636AN33", "KSA 5 01/18/53": "US80413TBE82", "REPHUN 5 1/4 06/16/29": "US445545AP18", "ADQABU 4 1/2 05/06/30": "US00402AAA97", "ROMANI 6 3/8 01/30/34": "US77586RAU41", "UAE 2 7/8 10/19/41": "US31424EAC66", "MUBAUH 3 3/4 04/19/29": "XS1598828298", "KSA 3.45 02/02/61": "US80413TAW99", "PRXNA 3.061 07/13/31": "US74365PAF53", "QATAR 4 3/4 05/29/34": "US74738PTP35", "ROMANI 5 7/8 01/30/29": "US77586RAT77", "PRXNA 3.68 01/21/30": "US74365PAA66", "ARAMCO 4 3/8 04/16/49": "US80414L2F13", "PRXNA 3.257 01/19/27": "US74365PAG37", "QATAR 9 3/4 06/15/30": "US74727PAE16", "TAQAUH 4.696 04/24/33": "US00388WAM38", "ADQABU 4 3/8 10/02/31": "US00402D2C80", "PRXNA 4.027 08/03/50": "US74365PAD06", "ADGB 3 1/8 05/03/26": "US29134WAB37", "QATAR 3 3/4 04/16/30": "US74727PBD24", "ROMANI 3 02/27/27": "US77586RAK68", "AALLN 4 3/4 03/16/52": "USG0446NAX24", "QATAR 4 1/2 02/27/28": "US74738PLV84", "REPHUN 2 1/8 09/22/31": "US445545AM86", "QATAR 4 5/8 06/02/46": "US74727PAV31", "ADGB 5 1/2 04/30/54": "US29135LAU44", "BGOSK 5 3/8 05/22/33": "US06237MAA18", "ADGB 1.7 03/02/31": "US29135LAM28", "BIMBOA 4.7 11/10/47": "US40052VAE48", "QATAR 4 1/2 04/23/28": "US74727PAX96", "KSA 5 1/4 01/16/50": "US80413TAL35", "ARAMCO 2 1/4 11/24/30": "US80414L2K08", "KSA 2 1/4 02/02/33": "US80413TAV17", "REPHUN 5 1/2 06/16/34": "US445545AQ90", "ADGB 5 04/30/34": "US29135LAT70", "CDEL 3.7 01/30/50": "US21987BBA52", "TAQAUH 3.4 04/29/51": "US00388WAK71", "ROMANI 6 05/25/34": "US77586RAP55", "UAE 4.951 07/07/52": "US31424EAE23", "CFELEC 5 3/4 02/14/42": "US200447AC45", "ADNOCM 4 1/2 09/11/34": "US00723L2B42", "CDEL 5.95 01/08/34": "US21987BBG23", "KSA 4 7/8 07/18/33": "US80413TBD00", "CFELEC 5 03/12/48": "XS1773650681", "ROMANI 3 02/14/31": "US77586RAH30", "SQM 3 1/2 09/10/51": "US833636AL76", "KSA 3 1/4 10/26/26": "US80413TAB52", "UAE 4.857 07/02/34": "US909378AC51", "REPHUN 3 1/8 09/21/51": "US445545AN69", "QATAR 3 1/4 06/02/26": "US74727PAU57", "ADNOCM 4 1/4 09/11/29": "US00723L2A68", "QATAR 4 5/8 05/29/29": "US74738PAK49", "ADGB 4 1/8 10/11/47": "US29135LAB62", "QATAR 4 03/14/29": "US74727PBA84", "CDEL 3 3/4 01/15/31": "US21987BBC19", "ROMANI 5 1/4 11/25/27": "US77586RAN08", "KSA 4 1/2 10/26/46": "US80413TAC36", "ADQABU 5 1/4 10/02/54": "US00402D2D63", "BGOSK 6 1/4 10/31/28": "US06237MAB90", "KSA 4 3/4 01/18/28": "US80413TBC27", "KSA 2 3/4 02/03/32": "US80413TAQ22", "UAE 2 10/19/31": "US31424EAA01", "CDEL 5 1/8 02/02/33": "US21987BBF40", "KSA 3 3/4 01/21/55": "US80413TAR05", "TAQAUH 4 7/8 04/23/30": "US00388WAG69", "ROMANI 5 1/8 06/15/48": "US77586RAF73", "CDEL 4 3/8 02/05/49": "US21987BAY48", "ROMANI 6 1/8 01/22/44": "US77586RAC43", "CFELEC 6 1/8 06/16/45": "US200447AE01", "TAQAUH 4 3/8 06/22/26": "US00388WAC55", "KSA 5 3/8 01/13/31": "US80413TBK43", "ADGB 4 7/8 04/30/29": "US29135LAS97", "ADGB 2.7 09/02/70": "US29135LAN01", "CDEL 3.15 01/14/30": "US21987BBB36", "KSA 2 1/2 02/03/27": "US80413TAP49", "ARAMCO 4 1/4 04/16/39": "US80414L2E48", "KSA 3 5/8 03/04/28": "US80413TAE91", "KSA 4 1/2 04/22/60": "US80413TAU34", "KSA 3 1/4 10/22/30": "US80413TAT60", "ARAMCO 3 1/2 11/24/70": "US80414L2M63", "ADGB 3 1/8 09/30/49": "US29135LAF76", "KSA 4 5/8 10/04/47": "US80413TAF66", "KSA 4 3/8 04/16/29": "US80413TAK51", "ADGB 3 1/8 04/16/30": "US29135LAH33", "ARAMCO 3 1/4 11/24/50": "US80414L2L80", "TAQAUH 2 04/29/28": "US00388WAJ09", "UAE 4.05 07/07/32": "US31424EAD40", "QATAR 5 3/4 01/20/42": "US74727PAR29", "CDEL 5 5/8 10/18/43": "US21987BAT52", "QATAR 4 7/8 02/27/35": "US74738PUJ55", "TAQAUH 4 3/8 10/09/31": "US00388WAQ42", "MUBAUH 4 3/8 11/22/33": "US55285GAD60", "CDEL 3 09/30/29": "US21987BAZ13", "KSA 5 04/17/49": "US80413TAJ88", "ROMANI 4 02/14/51": "US77586RAJ95", "ADGB 1 7/8 09/15/31": "US29135LAQ32", "TAQAUH 6 1/2 10/27/36": "US00386SAB88", "CDEL 4 7/8 11/04/44": "US21987BAU26", "CFELEC 5.15 07/13/47": "XS1638817996", "CDEL 3 5/8 08/01/27": "US21987BAW81", "KSA 4 1/2 04/17/30": "US80413TAH23", "CDEL 4.85 05/18/48": "XS1798294523", "ADGB 3 09/15/51": "US29135LAR15", "KSA 3 1/4 11/17/51": "US80413TAZ21", "KSA 5 1/2 10/25/32": "US80413TBA60", "MUBAUH 6 7/8 11/01/41": "US44985GAE17", "ADQABU 5 05/06/35": "US00402AAB70", "ADQABU 5 3/8 05/08/29": "US00402D2A25", "MUBAUH 5 7/8 05/01/34": "US55285GAE44", "MUBAUH 2 7/8 11/07/29": "US55276VAJ17", "ADGB 2 1/2 09/30/29": "US29135LAE02", "CDEL 4 1/2 08/01/47": "US21987BAX64", "ADGB 3 1/8 10/11/27": "US29135LAA89", "MUBAUH 4 1/2 11/07/28": "US55276VAG77", "ADGB 1 5/8 06/02/28": "US29135LAP58", "UAE 3 1/4 10/19/61": "US31424EAB83", "ROMANI 3 5/8 03/27/32": "US77586RAL42", "MUBAUH 5 1/2 04/28/33": "US55285GAB05", "QATAR 6.4 01/20/40": "US74727PAL58", "ADQABU 5 1/2 05/08/34": "US00402D2B08", "UAE 4.917 09/25/33": "US909378AA95", "MUBAUH 3.7 11/07/49": "US55276VAK89", "VALEBZ 6 02/25/56": "US91911TAT07", "VALEBZ 6 02/25/56": "USG9317UAD75", "QATAR 3 5/8 11/10/28": "XS3216220544", "QATAR 3 5/8 11/10/28": "US74738PZ506", "MEX 4 3/4 03/22/31": "US91087BBJ89", "MEX 5 3/8 03/22/33": "US91087BBK52", "MEX 5 5/8 09/22/35": "US91087BBL36", "ADGB 4 1/4 10/02/35": "US29135LAW00", "ADGB 4 1/4 10/02/35": "XS3195078681", "ADGB 3 5/8 10/02/28": "US29135LAV27", "ADGB 3 5/8 10/02/28": "XS3195078509", "MUBAUH 4 5/8 10/16/35": "US55285GAF19", "MUBAUH 4 5/8 10/16/35": "XS3192951781", "PIFKSA 5 09/15/35": "XS3181494538"</v>
      </c>
    </row>
    <row r="2" spans="1:6" x14ac:dyDescent="0.3">
      <c r="A2" t="s">
        <v>3</v>
      </c>
      <c r="B2" t="s">
        <v>2</v>
      </c>
      <c r="C2" t="str">
        <f t="shared" ref="C2:C65" si="0">""""&amp;A2&amp;""""</f>
        <v>"REPHUN 6 3/4 09/23/55"</v>
      </c>
      <c r="D2" t="str">
        <f t="shared" ref="D2:D65" si="1">""""&amp;B2&amp;""""</f>
        <v>"XS3101499773"</v>
      </c>
      <c r="E2" t="str">
        <f t="shared" ref="E2:E65" si="2">C2&amp;": "&amp;D2</f>
        <v>"REPHUN 6 3/4 09/23/55": "XS3101499773"</v>
      </c>
    </row>
    <row r="3" spans="1:6" x14ac:dyDescent="0.3">
      <c r="A3" t="s">
        <v>5</v>
      </c>
      <c r="B3" t="s">
        <v>4</v>
      </c>
      <c r="C3" t="str">
        <f t="shared" si="0"/>
        <v>"KSA 5 3/4 01/16/54"</v>
      </c>
      <c r="D3" t="str">
        <f t="shared" si="1"/>
        <v>"XS2747599509"</v>
      </c>
      <c r="E3" t="str">
        <f t="shared" si="2"/>
        <v>"KSA 5 3/4 01/16/54": "XS2747599509"</v>
      </c>
    </row>
    <row r="4" spans="1:6" x14ac:dyDescent="0.3">
      <c r="A4" t="s">
        <v>7</v>
      </c>
      <c r="B4" t="s">
        <v>6</v>
      </c>
      <c r="C4" t="str">
        <f t="shared" si="0"/>
        <v>"REPHUN 6 09/26/35"</v>
      </c>
      <c r="D4" t="str">
        <f t="shared" si="1"/>
        <v>"XS3101499260"</v>
      </c>
      <c r="E4" t="str">
        <f t="shared" si="2"/>
        <v>"REPHUN 6 09/26/35": "XS3101499260"</v>
      </c>
    </row>
    <row r="5" spans="1:6" x14ac:dyDescent="0.3">
      <c r="A5" t="s">
        <v>9</v>
      </c>
      <c r="B5" t="s">
        <v>8</v>
      </c>
      <c r="C5" t="str">
        <f t="shared" si="0"/>
        <v>"KSA 5 5/8 01/13/35"</v>
      </c>
      <c r="D5" t="str">
        <f t="shared" si="1"/>
        <v>"XS2974969482"</v>
      </c>
      <c r="E5" t="str">
        <f t="shared" si="2"/>
        <v>"KSA 5 5/8 01/13/35": "XS2974969482"</v>
      </c>
    </row>
    <row r="6" spans="1:6" x14ac:dyDescent="0.3">
      <c r="A6" t="s">
        <v>11</v>
      </c>
      <c r="B6" t="s">
        <v>10</v>
      </c>
      <c r="C6" t="str">
        <f t="shared" si="0"/>
        <v>"ARAMCO 6 3/8 06/02/55"</v>
      </c>
      <c r="D6" t="str">
        <f t="shared" si="1"/>
        <v>"XS3084345241"</v>
      </c>
      <c r="E6" t="str">
        <f t="shared" si="2"/>
        <v>"ARAMCO 6 3/8 06/02/55": "XS3084345241"</v>
      </c>
    </row>
    <row r="7" spans="1:6" x14ac:dyDescent="0.3">
      <c r="A7" t="s">
        <v>13</v>
      </c>
      <c r="B7" t="s">
        <v>12</v>
      </c>
      <c r="C7" t="str">
        <f t="shared" si="0"/>
        <v>"ARAMCO 5 3/8 06/02/35"</v>
      </c>
      <c r="D7" t="str">
        <f t="shared" si="1"/>
        <v>"XS3084344947"</v>
      </c>
      <c r="E7" t="str">
        <f t="shared" si="2"/>
        <v>"ARAMCO 5 3/8 06/02/35": "XS3084344947"</v>
      </c>
    </row>
    <row r="8" spans="1:6" x14ac:dyDescent="0.3">
      <c r="A8" t="s">
        <v>15</v>
      </c>
      <c r="B8" t="s">
        <v>14</v>
      </c>
      <c r="C8" t="str">
        <f t="shared" si="0"/>
        <v>"REPHUN 5 3/8 09/26/30"</v>
      </c>
      <c r="D8" t="str">
        <f t="shared" si="1"/>
        <v>"XS3101499187"</v>
      </c>
      <c r="E8" t="str">
        <f t="shared" si="2"/>
        <v>"REPHUN 5 3/8 09/26/30": "XS3101499187"</v>
      </c>
    </row>
    <row r="9" spans="1:6" x14ac:dyDescent="0.3">
      <c r="A9" t="s">
        <v>17</v>
      </c>
      <c r="B9" t="s">
        <v>16</v>
      </c>
      <c r="C9" t="str">
        <f t="shared" si="0"/>
        <v>"ARAMCO 5 7/8 07/17/64"</v>
      </c>
      <c r="D9" t="str">
        <f t="shared" si="1"/>
        <v>"XS2861555964"</v>
      </c>
      <c r="E9" t="str">
        <f t="shared" si="2"/>
        <v>"ARAMCO 5 7/8 07/17/64": "XS2861555964"</v>
      </c>
    </row>
    <row r="10" spans="1:6" x14ac:dyDescent="0.3">
      <c r="A10" t="s">
        <v>19</v>
      </c>
      <c r="B10" t="s">
        <v>18</v>
      </c>
      <c r="C10" t="str">
        <f t="shared" si="0"/>
        <v>"VALEBZ 3 3/4 07/08/30"</v>
      </c>
      <c r="D10" t="str">
        <f t="shared" si="1"/>
        <v>"US91911TAQ67"</v>
      </c>
      <c r="E10" t="str">
        <f t="shared" si="2"/>
        <v>"VALEBZ 3 3/4 07/08/30": "US91911TAQ67"</v>
      </c>
    </row>
    <row r="11" spans="1:6" x14ac:dyDescent="0.3">
      <c r="A11" t="s">
        <v>21</v>
      </c>
      <c r="B11" t="s">
        <v>20</v>
      </c>
      <c r="C11" t="str">
        <f t="shared" si="0"/>
        <v>"ROMANI 5 3/4 03/24/35"</v>
      </c>
      <c r="D11" t="str">
        <f t="shared" si="1"/>
        <v>"XS2908633683"</v>
      </c>
      <c r="E11" t="str">
        <f t="shared" si="2"/>
        <v>"ROMANI 5 3/4 03/24/35": "XS2908633683"</v>
      </c>
    </row>
    <row r="12" spans="1:6" x14ac:dyDescent="0.3">
      <c r="A12" t="s">
        <v>23</v>
      </c>
      <c r="B12" t="s">
        <v>22</v>
      </c>
      <c r="C12" t="str">
        <f t="shared" si="0"/>
        <v>"ARAMCO 5 1/4 07/17/34"</v>
      </c>
      <c r="D12" t="str">
        <f t="shared" si="1"/>
        <v>"XS2861550817"</v>
      </c>
      <c r="E12" t="str">
        <f t="shared" si="2"/>
        <v>"ARAMCO 5 1/4 07/17/34": "XS2861550817"</v>
      </c>
    </row>
    <row r="13" spans="1:6" x14ac:dyDescent="0.3">
      <c r="A13" t="s">
        <v>25</v>
      </c>
      <c r="B13" t="s">
        <v>24</v>
      </c>
      <c r="C13" t="str">
        <f t="shared" si="0"/>
        <v>"MEX 6.35 02/09/35"</v>
      </c>
      <c r="D13" t="str">
        <f t="shared" si="1"/>
        <v>"US91087BAV27"</v>
      </c>
      <c r="E13" t="str">
        <f t="shared" si="2"/>
        <v>"MEX 6.35 02/09/35": "US91087BAV27"</v>
      </c>
    </row>
    <row r="14" spans="1:6" x14ac:dyDescent="0.3">
      <c r="A14" t="s">
        <v>27</v>
      </c>
      <c r="B14" t="s">
        <v>26</v>
      </c>
      <c r="C14" t="str">
        <f t="shared" si="0"/>
        <v>"PIFKSA 5 3/8 01/29/54"</v>
      </c>
      <c r="D14" t="str">
        <f t="shared" si="1"/>
        <v>"XS2755904872"</v>
      </c>
      <c r="E14" t="str">
        <f t="shared" si="2"/>
        <v>"PIFKSA 5 3/8 01/29/54": "XS2755904872"</v>
      </c>
    </row>
    <row r="15" spans="1:6" x14ac:dyDescent="0.3">
      <c r="A15" t="s">
        <v>29</v>
      </c>
      <c r="B15" t="s">
        <v>28</v>
      </c>
      <c r="C15" t="str">
        <f t="shared" si="0"/>
        <v>"VALEBZ 6 1/8 06/12/33"</v>
      </c>
      <c r="D15" t="str">
        <f t="shared" si="1"/>
        <v>"US91911TAR41"</v>
      </c>
      <c r="E15" t="str">
        <f t="shared" si="2"/>
        <v>"VALEBZ 6 1/8 06/12/33": "US91911TAR41"</v>
      </c>
    </row>
    <row r="16" spans="1:6" x14ac:dyDescent="0.3">
      <c r="A16" t="s">
        <v>31</v>
      </c>
      <c r="B16" t="s">
        <v>30</v>
      </c>
      <c r="C16" t="str">
        <f t="shared" si="0"/>
        <v>"PERU 5 1/2 03/30/36"</v>
      </c>
      <c r="D16" t="str">
        <f t="shared" si="1"/>
        <v>"US715638FC12"</v>
      </c>
      <c r="E16" t="str">
        <f t="shared" si="2"/>
        <v>"PERU 5 1/2 03/30/36": "US715638FC12"</v>
      </c>
    </row>
    <row r="17" spans="1:5" x14ac:dyDescent="0.3">
      <c r="A17" t="s">
        <v>33</v>
      </c>
      <c r="B17" t="s">
        <v>32</v>
      </c>
      <c r="C17" t="str">
        <f t="shared" si="0"/>
        <v>"ARAMCO 4 3/4 06/02/30"</v>
      </c>
      <c r="D17" t="str">
        <f t="shared" si="1"/>
        <v>"XS3084344863"</v>
      </c>
      <c r="E17" t="str">
        <f t="shared" si="2"/>
        <v>"ARAMCO 4 3/4 06/02/30": "XS3084344863"</v>
      </c>
    </row>
    <row r="18" spans="1:5" x14ac:dyDescent="0.3">
      <c r="A18" t="s">
        <v>35</v>
      </c>
      <c r="B18" t="s">
        <v>34</v>
      </c>
      <c r="C18" t="str">
        <f t="shared" si="0"/>
        <v>"ROMANI 5 3/4 09/16/30"</v>
      </c>
      <c r="D18" t="str">
        <f t="shared" si="1"/>
        <v>"XS3114901336"</v>
      </c>
      <c r="E18" t="str">
        <f t="shared" si="2"/>
        <v>"ROMANI 5 3/4 09/16/30": "XS3114901336"</v>
      </c>
    </row>
    <row r="19" spans="1:5" x14ac:dyDescent="0.3">
      <c r="A19" t="s">
        <v>37</v>
      </c>
      <c r="B19" t="s">
        <v>36</v>
      </c>
      <c r="C19" t="str">
        <f t="shared" si="0"/>
        <v>"ROMANI 7 5/8 01/17/53"</v>
      </c>
      <c r="D19" t="str">
        <f t="shared" si="1"/>
        <v>"XS2571924070"</v>
      </c>
      <c r="E19" t="str">
        <f t="shared" si="2"/>
        <v>"ROMANI 7 5/8 01/17/53": "XS2571924070"</v>
      </c>
    </row>
    <row r="20" spans="1:5" x14ac:dyDescent="0.3">
      <c r="A20" t="s">
        <v>39</v>
      </c>
      <c r="B20" t="s">
        <v>38</v>
      </c>
      <c r="C20" t="str">
        <f t="shared" si="0"/>
        <v>"POLAND 5 3/8 02/12/35"</v>
      </c>
      <c r="D20" t="str">
        <f t="shared" si="1"/>
        <v>"US857524AH50"</v>
      </c>
      <c r="E20" t="str">
        <f t="shared" si="2"/>
        <v>"POLAND 5 3/8 02/12/35": "US857524AH50"</v>
      </c>
    </row>
    <row r="21" spans="1:5" x14ac:dyDescent="0.3">
      <c r="A21" t="s">
        <v>41</v>
      </c>
      <c r="B21" t="s">
        <v>40</v>
      </c>
      <c r="C21" t="str">
        <f t="shared" si="0"/>
        <v>"MEX 7 3/8 05/13/55"</v>
      </c>
      <c r="D21" t="str">
        <f t="shared" si="1"/>
        <v>"US91087BBD10"</v>
      </c>
      <c r="E21" t="str">
        <f t="shared" si="2"/>
        <v>"MEX 7 3/8 05/13/55": "US91087BBD10"</v>
      </c>
    </row>
    <row r="22" spans="1:5" x14ac:dyDescent="0.3">
      <c r="A22" t="s">
        <v>43</v>
      </c>
      <c r="B22" t="s">
        <v>42</v>
      </c>
      <c r="C22" t="str">
        <f t="shared" si="0"/>
        <v>"VALEBZ 6.4 06/28/54"</v>
      </c>
      <c r="D22" t="str">
        <f t="shared" si="1"/>
        <v>"US91911TAS24"</v>
      </c>
      <c r="E22" t="str">
        <f t="shared" si="2"/>
        <v>"VALEBZ 6.4 06/28/54": "US91911TAS24"</v>
      </c>
    </row>
    <row r="23" spans="1:5" x14ac:dyDescent="0.3">
      <c r="A23" t="s">
        <v>45</v>
      </c>
      <c r="B23" t="s">
        <v>44</v>
      </c>
      <c r="C23" t="str">
        <f t="shared" si="0"/>
        <v>"KSA 5 01/16/34"</v>
      </c>
      <c r="D23" t="str">
        <f t="shared" si="1"/>
        <v>"XS2747599095"</v>
      </c>
      <c r="E23" t="str">
        <f t="shared" si="2"/>
        <v>"KSA 5 01/16/34": "XS2747599095"</v>
      </c>
    </row>
    <row r="24" spans="1:5" x14ac:dyDescent="0.3">
      <c r="A24" t="s">
        <v>47</v>
      </c>
      <c r="B24" t="s">
        <v>46</v>
      </c>
      <c r="C24" t="str">
        <f t="shared" si="0"/>
        <v>"KSA 5 1/8 01/13/28"</v>
      </c>
      <c r="D24" t="str">
        <f t="shared" si="1"/>
        <v>"XS2974923497"</v>
      </c>
      <c r="E24" t="str">
        <f t="shared" si="2"/>
        <v>"KSA 5 1/8 01/13/28": "XS2974923497"</v>
      </c>
    </row>
    <row r="25" spans="1:5" x14ac:dyDescent="0.3">
      <c r="A25" t="s">
        <v>49</v>
      </c>
      <c r="B25" t="s">
        <v>48</v>
      </c>
      <c r="C25" t="str">
        <f t="shared" si="0"/>
        <v>"ARAMCO 5 3/4 07/17/54"</v>
      </c>
      <c r="D25" t="str">
        <f t="shared" si="1"/>
        <v>"XS2861551898"</v>
      </c>
      <c r="E25" t="str">
        <f t="shared" si="2"/>
        <v>"ARAMCO 5 3/4 07/17/54": "XS2861551898"</v>
      </c>
    </row>
    <row r="26" spans="1:5" x14ac:dyDescent="0.3">
      <c r="A26" t="s">
        <v>51</v>
      </c>
      <c r="B26" t="s">
        <v>50</v>
      </c>
      <c r="C26" t="str">
        <f t="shared" si="0"/>
        <v>"ROMANI 6 5/8 05/16/36"</v>
      </c>
      <c r="D26" t="str">
        <f t="shared" si="1"/>
        <v>"XS3114897633"</v>
      </c>
      <c r="E26" t="str">
        <f t="shared" si="2"/>
        <v>"ROMANI 6 5/8 05/16/36": "XS3114897633"</v>
      </c>
    </row>
    <row r="27" spans="1:5" x14ac:dyDescent="0.3">
      <c r="A27" t="s">
        <v>53</v>
      </c>
      <c r="B27" t="s">
        <v>52</v>
      </c>
      <c r="C27" t="str">
        <f t="shared" si="0"/>
        <v>"MEX 6 7/8 05/13/37"</v>
      </c>
      <c r="D27" t="str">
        <f t="shared" si="1"/>
        <v>"US91087BBC37"</v>
      </c>
      <c r="E27" t="str">
        <f t="shared" si="2"/>
        <v>"MEX 6 7/8 05/13/37": "US91087BBC37"</v>
      </c>
    </row>
    <row r="28" spans="1:5" x14ac:dyDescent="0.3">
      <c r="A28" t="s">
        <v>55</v>
      </c>
      <c r="B28" t="s">
        <v>54</v>
      </c>
      <c r="C28" t="str">
        <f t="shared" si="0"/>
        <v>"KSA 4 1/2 10/26/46"</v>
      </c>
      <c r="D28" t="str">
        <f t="shared" si="1"/>
        <v>"XS1508675508"</v>
      </c>
      <c r="E28" t="str">
        <f t="shared" si="2"/>
        <v>"KSA 4 1/2 10/26/46": "XS1508675508"</v>
      </c>
    </row>
    <row r="29" spans="1:5" x14ac:dyDescent="0.3">
      <c r="A29" t="s">
        <v>57</v>
      </c>
      <c r="B29" t="s">
        <v>56</v>
      </c>
      <c r="C29" t="str">
        <f t="shared" si="0"/>
        <v>"POLAND 5 1/2 03/18/54"</v>
      </c>
      <c r="D29" t="str">
        <f t="shared" si="1"/>
        <v>"US731011AZ55"</v>
      </c>
      <c r="E29" t="str">
        <f t="shared" si="2"/>
        <v>"POLAND 5 1/2 03/18/54": "US731011AZ55"</v>
      </c>
    </row>
    <row r="30" spans="1:5" x14ac:dyDescent="0.3">
      <c r="A30" t="s">
        <v>59</v>
      </c>
      <c r="B30" t="s">
        <v>58</v>
      </c>
      <c r="C30" t="str">
        <f t="shared" si="0"/>
        <v>"POLAND 5 1/8 09/18/34"</v>
      </c>
      <c r="D30" t="str">
        <f t="shared" si="1"/>
        <v>"US731011AY80"</v>
      </c>
      <c r="E30" t="str">
        <f t="shared" si="2"/>
        <v>"POLAND 5 1/8 09/18/34": "US731011AY80"</v>
      </c>
    </row>
    <row r="31" spans="1:5" x14ac:dyDescent="0.3">
      <c r="A31" t="s">
        <v>61</v>
      </c>
      <c r="B31" t="s">
        <v>60</v>
      </c>
      <c r="C31" t="str">
        <f t="shared" si="0"/>
        <v>"MEX 5.85 07/02/32"</v>
      </c>
      <c r="D31" t="str">
        <f t="shared" si="1"/>
        <v>"US91087BBE92"</v>
      </c>
      <c r="E31" t="str">
        <f t="shared" si="2"/>
        <v>"MEX 5.85 07/02/32": "US91087BBE92"</v>
      </c>
    </row>
    <row r="32" spans="1:5" x14ac:dyDescent="0.3">
      <c r="A32" t="s">
        <v>63</v>
      </c>
      <c r="B32" t="s">
        <v>62</v>
      </c>
      <c r="C32" t="str">
        <f t="shared" si="0"/>
        <v>"POLAND 4 7/8 02/12/30"</v>
      </c>
      <c r="D32" t="str">
        <f t="shared" si="1"/>
        <v>"US857524AF94"</v>
      </c>
      <c r="E32" t="str">
        <f t="shared" si="2"/>
        <v>"POLAND 4 7/8 02/12/30": "US857524AF94"</v>
      </c>
    </row>
    <row r="33" spans="1:5" x14ac:dyDescent="0.3">
      <c r="A33" t="s">
        <v>65</v>
      </c>
      <c r="B33" t="s">
        <v>64</v>
      </c>
      <c r="C33" t="str">
        <f t="shared" si="0"/>
        <v>"ROMANI 7 1/2 02/10/37"</v>
      </c>
      <c r="D33" t="str">
        <f t="shared" si="1"/>
        <v>"XS2999564581"</v>
      </c>
      <c r="E33" t="str">
        <f t="shared" si="2"/>
        <v>"ROMANI 7 1/2 02/10/37": "XS2999564581"</v>
      </c>
    </row>
    <row r="34" spans="1:5" x14ac:dyDescent="0.3">
      <c r="A34" t="s">
        <v>67</v>
      </c>
      <c r="B34" t="s">
        <v>66</v>
      </c>
      <c r="C34" t="str">
        <f t="shared" si="0"/>
        <v>"PIFKSA 4 7/8 02/14/35"</v>
      </c>
      <c r="D34" t="str">
        <f t="shared" si="1"/>
        <v>"XS2585988061"</v>
      </c>
      <c r="E34" t="str">
        <f t="shared" si="2"/>
        <v>"PIFKSA 4 7/8 02/14/35": "XS2585988061"</v>
      </c>
    </row>
    <row r="35" spans="1:5" x14ac:dyDescent="0.3">
      <c r="A35" t="s">
        <v>69</v>
      </c>
      <c r="B35" t="s">
        <v>68</v>
      </c>
      <c r="C35" t="str">
        <f t="shared" si="0"/>
        <v>"ROMANI 7 1/8 01/17/33"</v>
      </c>
      <c r="D35" t="str">
        <f t="shared" si="1"/>
        <v>"XS2571923007"</v>
      </c>
      <c r="E35" t="str">
        <f t="shared" si="2"/>
        <v>"ROMANI 7 1/8 01/17/33": "XS2571923007"</v>
      </c>
    </row>
    <row r="36" spans="1:5" x14ac:dyDescent="0.3">
      <c r="A36" t="s">
        <v>71</v>
      </c>
      <c r="B36" t="s">
        <v>70</v>
      </c>
      <c r="C36" t="str">
        <f t="shared" si="0"/>
        <v>"KSA 5 1/4 01/16/50"</v>
      </c>
      <c r="D36" t="str">
        <f t="shared" si="1"/>
        <v>"XS1936302949"</v>
      </c>
      <c r="E36" t="str">
        <f t="shared" si="2"/>
        <v>"KSA 5 1/4 01/16/50": "XS1936302949"</v>
      </c>
    </row>
    <row r="37" spans="1:5" x14ac:dyDescent="0.3">
      <c r="A37" t="s">
        <v>73</v>
      </c>
      <c r="B37" t="s">
        <v>72</v>
      </c>
      <c r="C37" t="str">
        <f t="shared" si="0"/>
        <v>"KSA 5 01/18/53"</v>
      </c>
      <c r="D37" t="str">
        <f t="shared" si="1"/>
        <v>"XS2577136109"</v>
      </c>
      <c r="E37" t="str">
        <f t="shared" si="2"/>
        <v>"KSA 5 01/18/53": "XS2577136109"</v>
      </c>
    </row>
    <row r="38" spans="1:5" x14ac:dyDescent="0.3">
      <c r="A38" t="s">
        <v>75</v>
      </c>
      <c r="B38" t="s">
        <v>74</v>
      </c>
      <c r="C38" t="str">
        <f t="shared" si="0"/>
        <v>"URUGUA 5.1 06/18/50"</v>
      </c>
      <c r="D38" t="str">
        <f t="shared" si="1"/>
        <v>"US760942BA98"</v>
      </c>
      <c r="E38" t="str">
        <f t="shared" si="2"/>
        <v>"URUGUA 5.1 06/18/50": "US760942BA98"</v>
      </c>
    </row>
    <row r="39" spans="1:5" x14ac:dyDescent="0.3">
      <c r="A39" t="s">
        <v>77</v>
      </c>
      <c r="B39" t="s">
        <v>76</v>
      </c>
      <c r="C39" t="str">
        <f t="shared" si="0"/>
        <v>"REPHUN 3 1/8 09/21/51"</v>
      </c>
      <c r="D39" t="str">
        <f t="shared" si="1"/>
        <v>"XS2388586583"</v>
      </c>
      <c r="E39" t="str">
        <f t="shared" si="2"/>
        <v>"REPHUN 3 1/8 09/21/51": "XS2388586583"</v>
      </c>
    </row>
    <row r="40" spans="1:5" x14ac:dyDescent="0.3">
      <c r="A40" t="s">
        <v>79</v>
      </c>
      <c r="B40" t="s">
        <v>78</v>
      </c>
      <c r="C40" t="str">
        <f t="shared" si="0"/>
        <v>"ARAMCO 3 1/2 04/16/29"</v>
      </c>
      <c r="D40" t="str">
        <f t="shared" si="1"/>
        <v>"XS1982113208"</v>
      </c>
      <c r="E40" t="str">
        <f t="shared" si="2"/>
        <v>"ARAMCO 3 1/2 04/16/29": "XS1982113208"</v>
      </c>
    </row>
    <row r="41" spans="1:5" x14ac:dyDescent="0.3">
      <c r="A41" t="s">
        <v>81</v>
      </c>
      <c r="B41" t="s">
        <v>80</v>
      </c>
      <c r="C41" t="str">
        <f t="shared" si="0"/>
        <v>"ROMANI 6 1/8 01/22/44"</v>
      </c>
      <c r="D41" t="str">
        <f t="shared" si="1"/>
        <v>"US77586TAE64"</v>
      </c>
      <c r="E41" t="str">
        <f t="shared" si="2"/>
        <v>"ROMANI 6 1/8 01/22/44": "US77586TAE64"</v>
      </c>
    </row>
    <row r="42" spans="1:5" x14ac:dyDescent="0.3">
      <c r="A42" t="s">
        <v>83</v>
      </c>
      <c r="B42" t="s">
        <v>82</v>
      </c>
      <c r="C42" t="str">
        <f t="shared" si="0"/>
        <v>"MEX 6 05/07/36"</v>
      </c>
      <c r="D42" t="str">
        <f t="shared" si="1"/>
        <v>"US91087BAZ31"</v>
      </c>
      <c r="E42" t="str">
        <f t="shared" si="2"/>
        <v>"MEX 6 05/07/36": "US91087BAZ31"</v>
      </c>
    </row>
    <row r="43" spans="1:5" x14ac:dyDescent="0.3">
      <c r="A43" t="s">
        <v>85</v>
      </c>
      <c r="B43" t="s">
        <v>84</v>
      </c>
      <c r="C43" t="str">
        <f t="shared" si="0"/>
        <v>"ROMANI 6 05/25/34"</v>
      </c>
      <c r="D43" t="str">
        <f t="shared" si="1"/>
        <v>"XS2485249523"</v>
      </c>
      <c r="E43" t="str">
        <f t="shared" si="2"/>
        <v>"ROMANI 6 05/25/34": "XS2485249523"</v>
      </c>
    </row>
    <row r="44" spans="1:5" x14ac:dyDescent="0.3">
      <c r="A44" t="s">
        <v>87</v>
      </c>
      <c r="B44" t="s">
        <v>86</v>
      </c>
      <c r="C44" t="str">
        <f t="shared" si="0"/>
        <v>"ROMANI 5 7/8 01/30/29"</v>
      </c>
      <c r="D44" t="str">
        <f t="shared" si="1"/>
        <v>"XS2756521212"</v>
      </c>
      <c r="E44" t="str">
        <f t="shared" si="2"/>
        <v>"ROMANI 5 7/8 01/30/29": "XS2756521212"</v>
      </c>
    </row>
    <row r="45" spans="1:5" x14ac:dyDescent="0.3">
      <c r="A45" t="s">
        <v>89</v>
      </c>
      <c r="B45" t="s">
        <v>88</v>
      </c>
      <c r="C45" t="str">
        <f t="shared" si="0"/>
        <v>"POLAND 5 1/2 04/04/53"</v>
      </c>
      <c r="D45" t="str">
        <f t="shared" si="1"/>
        <v>"US731011AW25"</v>
      </c>
      <c r="E45" t="str">
        <f t="shared" si="2"/>
        <v>"POLAND 5 1/2 04/04/53": "US731011AW25"</v>
      </c>
    </row>
    <row r="46" spans="1:5" x14ac:dyDescent="0.3">
      <c r="A46" t="s">
        <v>91</v>
      </c>
      <c r="B46" t="s">
        <v>90</v>
      </c>
      <c r="C46" t="str">
        <f t="shared" si="0"/>
        <v>"MEX 6 5/8 01/29/38"</v>
      </c>
      <c r="D46" t="str">
        <f t="shared" si="1"/>
        <v>"US91087BBF67"</v>
      </c>
      <c r="E46" t="str">
        <f t="shared" si="2"/>
        <v>"MEX 6 5/8 01/29/38": "US91087BBF67"</v>
      </c>
    </row>
    <row r="47" spans="1:5" x14ac:dyDescent="0.3">
      <c r="A47" t="s">
        <v>93</v>
      </c>
      <c r="B47" t="s">
        <v>92</v>
      </c>
      <c r="C47" t="str">
        <f t="shared" si="0"/>
        <v>"ADGB 5 1/2 04/30/54"</v>
      </c>
      <c r="D47" t="str">
        <f t="shared" si="1"/>
        <v>"XS2811094213"</v>
      </c>
      <c r="E47" t="str">
        <f t="shared" si="2"/>
        <v>"ADGB 5 1/2 04/30/54": "XS2811094213"</v>
      </c>
    </row>
    <row r="48" spans="1:5" x14ac:dyDescent="0.3">
      <c r="A48" t="s">
        <v>95</v>
      </c>
      <c r="B48" t="s">
        <v>94</v>
      </c>
      <c r="C48" t="str">
        <f t="shared" si="0"/>
        <v>"POLAND 5 3/4 11/16/32"</v>
      </c>
      <c r="D48" t="str">
        <f t="shared" si="1"/>
        <v>"US857524AE20"</v>
      </c>
      <c r="E48" t="str">
        <f t="shared" si="2"/>
        <v>"POLAND 5 3/4 11/16/32": "US857524AE20"</v>
      </c>
    </row>
    <row r="49" spans="1:5" x14ac:dyDescent="0.3">
      <c r="A49" t="s">
        <v>97</v>
      </c>
      <c r="B49" t="s">
        <v>96</v>
      </c>
      <c r="C49" t="str">
        <f t="shared" si="0"/>
        <v>"ROMANI 6 3/8 01/30/34"</v>
      </c>
      <c r="D49" t="str">
        <f t="shared" si="1"/>
        <v>"XS2756521303"</v>
      </c>
      <c r="E49" t="str">
        <f t="shared" si="2"/>
        <v>"ROMANI 6 3/8 01/30/34": "XS2756521303"</v>
      </c>
    </row>
    <row r="50" spans="1:5" x14ac:dyDescent="0.3">
      <c r="A50" t="s">
        <v>99</v>
      </c>
      <c r="B50" t="s">
        <v>98</v>
      </c>
      <c r="C50" t="str">
        <f t="shared" si="0"/>
        <v>"MEX 5 3/4 10/12/2110"</v>
      </c>
      <c r="D50" t="str">
        <f t="shared" si="1"/>
        <v>"US91086QAZ19"</v>
      </c>
      <c r="E50" t="str">
        <f t="shared" si="2"/>
        <v>"MEX 5 3/4 10/12/2110": "US91086QAZ19"</v>
      </c>
    </row>
    <row r="51" spans="1:5" x14ac:dyDescent="0.3">
      <c r="A51" t="s">
        <v>101</v>
      </c>
      <c r="B51" t="s">
        <v>100</v>
      </c>
      <c r="C51" t="str">
        <f t="shared" si="0"/>
        <v>"KSA 4 3/4 01/16/30"</v>
      </c>
      <c r="D51" t="str">
        <f t="shared" si="1"/>
        <v>"XS2747598444"</v>
      </c>
      <c r="E51" t="str">
        <f t="shared" si="2"/>
        <v>"KSA 4 3/4 01/16/30": "XS2747598444"</v>
      </c>
    </row>
    <row r="52" spans="1:5" x14ac:dyDescent="0.3">
      <c r="A52" t="s">
        <v>103</v>
      </c>
      <c r="B52" t="s">
        <v>102</v>
      </c>
      <c r="C52" t="str">
        <f t="shared" si="0"/>
        <v>"CFELEC 3 7/8 07/26/33"</v>
      </c>
      <c r="D52" t="str">
        <f t="shared" si="1"/>
        <v>"USP30179BK34"</v>
      </c>
      <c r="E52" t="str">
        <f t="shared" si="2"/>
        <v>"CFELEC 3 7/8 07/26/33": "USP30179BK34"</v>
      </c>
    </row>
    <row r="53" spans="1:5" x14ac:dyDescent="0.3">
      <c r="A53" t="s">
        <v>105</v>
      </c>
      <c r="B53" t="s">
        <v>104</v>
      </c>
      <c r="C53" t="str">
        <f t="shared" si="0"/>
        <v>"ADQABU 5 1/4 10/02/54"</v>
      </c>
      <c r="D53" t="str">
        <f t="shared" si="1"/>
        <v>"XS2907245208"</v>
      </c>
      <c r="E53" t="str">
        <f t="shared" si="2"/>
        <v>"ADQABU 5 1/4 10/02/54": "XS2907245208"</v>
      </c>
    </row>
    <row r="54" spans="1:5" x14ac:dyDescent="0.3">
      <c r="A54" t="s">
        <v>107</v>
      </c>
      <c r="B54" t="s">
        <v>106</v>
      </c>
      <c r="C54" t="str">
        <f t="shared" si="0"/>
        <v>"REPHUN 7 5/8 03/29/41"</v>
      </c>
      <c r="D54" t="str">
        <f t="shared" si="1"/>
        <v>"US445545AF36"</v>
      </c>
      <c r="E54" t="str">
        <f t="shared" si="2"/>
        <v>"REPHUN 7 5/8 03/29/41": "US445545AF36"</v>
      </c>
    </row>
    <row r="55" spans="1:5" x14ac:dyDescent="0.3">
      <c r="A55" t="s">
        <v>109</v>
      </c>
      <c r="B55" t="s">
        <v>108</v>
      </c>
      <c r="C55" t="str">
        <f t="shared" si="0"/>
        <v>"ROMANI 4 02/14/51"</v>
      </c>
      <c r="D55" t="str">
        <f t="shared" si="1"/>
        <v>"XS2201851685"</v>
      </c>
      <c r="E55" t="str">
        <f t="shared" si="2"/>
        <v>"ROMANI 4 02/14/51": "XS2201851685"</v>
      </c>
    </row>
    <row r="56" spans="1:5" x14ac:dyDescent="0.3">
      <c r="A56" t="s">
        <v>111</v>
      </c>
      <c r="B56" t="s">
        <v>110</v>
      </c>
      <c r="C56" t="str">
        <f t="shared" si="0"/>
        <v>"ADGB 3 1/8 05/03/26"</v>
      </c>
      <c r="D56" t="str">
        <f t="shared" si="1"/>
        <v>"XS1402929746"</v>
      </c>
      <c r="E56" t="str">
        <f t="shared" si="2"/>
        <v>"ADGB 3 1/8 05/03/26": "XS1402929746"</v>
      </c>
    </row>
    <row r="57" spans="1:5" x14ac:dyDescent="0.3">
      <c r="A57" t="s">
        <v>113</v>
      </c>
      <c r="B57" t="s">
        <v>112</v>
      </c>
      <c r="C57" t="str">
        <f t="shared" si="0"/>
        <v>"MEX 3 1/2 02/12/34"</v>
      </c>
      <c r="D57" t="str">
        <f t="shared" si="1"/>
        <v>"US91087BAR15"</v>
      </c>
      <c r="E57" t="str">
        <f t="shared" si="2"/>
        <v>"MEX 3 1/2 02/12/34": "US91087BAR15"</v>
      </c>
    </row>
    <row r="58" spans="1:5" x14ac:dyDescent="0.3">
      <c r="A58" t="s">
        <v>115</v>
      </c>
      <c r="B58" t="s">
        <v>114</v>
      </c>
      <c r="C58" t="str">
        <f t="shared" si="0"/>
        <v>"POLAND 4 5/8 03/18/29"</v>
      </c>
      <c r="D58" t="str">
        <f t="shared" si="1"/>
        <v>"US731011AX08"</v>
      </c>
      <c r="E58" t="str">
        <f t="shared" si="2"/>
        <v>"POLAND 4 5/8 03/18/29": "US731011AX08"</v>
      </c>
    </row>
    <row r="59" spans="1:5" x14ac:dyDescent="0.3">
      <c r="A59" t="s">
        <v>117</v>
      </c>
      <c r="B59" t="s">
        <v>116</v>
      </c>
      <c r="C59" t="str">
        <f t="shared" si="0"/>
        <v>"ADNOCM 5 1/8 09/11/54"</v>
      </c>
      <c r="D59" t="str">
        <f t="shared" si="1"/>
        <v>"XS2898198515"</v>
      </c>
      <c r="E59" t="str">
        <f t="shared" si="2"/>
        <v>"ADNOCM 5 1/8 09/11/54": "XS2898198515"</v>
      </c>
    </row>
    <row r="60" spans="1:5" x14ac:dyDescent="0.3">
      <c r="A60" t="s">
        <v>119</v>
      </c>
      <c r="B60" t="s">
        <v>118</v>
      </c>
      <c r="C60" t="str">
        <f t="shared" si="0"/>
        <v>"ARAMCO 4 1/4 04/16/39"</v>
      </c>
      <c r="D60" t="str">
        <f t="shared" si="1"/>
        <v>"XS1982113463"</v>
      </c>
      <c r="E60" t="str">
        <f t="shared" si="2"/>
        <v>"ARAMCO 4 1/4 04/16/39": "XS1982113463"</v>
      </c>
    </row>
    <row r="61" spans="1:5" x14ac:dyDescent="0.3">
      <c r="A61" t="s">
        <v>121</v>
      </c>
      <c r="B61" t="s">
        <v>120</v>
      </c>
      <c r="C61" t="str">
        <f t="shared" si="0"/>
        <v>"REPHUN 6 1/4 09/22/32"</v>
      </c>
      <c r="D61" t="str">
        <f t="shared" si="1"/>
        <v>"XS2574267261"</v>
      </c>
      <c r="E61" t="str">
        <f t="shared" si="2"/>
        <v>"REPHUN 6 1/4 09/22/32": "XS2574267261"</v>
      </c>
    </row>
    <row r="62" spans="1:5" x14ac:dyDescent="0.3">
      <c r="A62" t="s">
        <v>123</v>
      </c>
      <c r="B62" t="s">
        <v>122</v>
      </c>
      <c r="C62" t="str">
        <f t="shared" si="0"/>
        <v>"REPHUN 6 3/4 09/25/52"</v>
      </c>
      <c r="D62" t="str">
        <f t="shared" si="1"/>
        <v>"XS2574267345"</v>
      </c>
      <c r="E62" t="str">
        <f t="shared" si="2"/>
        <v>"REPHUN 6 3/4 09/25/52": "XS2574267345"</v>
      </c>
    </row>
    <row r="63" spans="1:5" x14ac:dyDescent="0.3">
      <c r="A63" t="s">
        <v>125</v>
      </c>
      <c r="B63" t="s">
        <v>124</v>
      </c>
      <c r="C63" t="str">
        <f t="shared" si="0"/>
        <v>"PIFKSA 5 1/8 02/14/53"</v>
      </c>
      <c r="D63" t="str">
        <f t="shared" si="1"/>
        <v>"XS2585988145"</v>
      </c>
      <c r="E63" t="str">
        <f t="shared" si="2"/>
        <v>"PIFKSA 5 1/8 02/14/53": "XS2585988145"</v>
      </c>
    </row>
    <row r="64" spans="1:5" x14ac:dyDescent="0.3">
      <c r="A64" t="s">
        <v>127</v>
      </c>
      <c r="B64" t="s">
        <v>126</v>
      </c>
      <c r="C64" t="str">
        <f t="shared" si="0"/>
        <v>"ADGB 5 04/30/34"</v>
      </c>
      <c r="D64" t="str">
        <f t="shared" si="1"/>
        <v>"XS2811094486"</v>
      </c>
      <c r="E64" t="str">
        <f t="shared" si="2"/>
        <v>"ADGB 5 04/30/34": "XS2811094486"</v>
      </c>
    </row>
    <row r="65" spans="1:5" x14ac:dyDescent="0.3">
      <c r="A65" t="s">
        <v>129</v>
      </c>
      <c r="B65" t="s">
        <v>128</v>
      </c>
      <c r="C65" t="str">
        <f t="shared" si="0"/>
        <v>"ADGB 4 7/8 04/30/29"</v>
      </c>
      <c r="D65" t="str">
        <f t="shared" si="1"/>
        <v>"XS2811094130"</v>
      </c>
      <c r="E65" t="str">
        <f t="shared" si="2"/>
        <v>"ADGB 4 7/8 04/30/29": "XS2811094130"</v>
      </c>
    </row>
    <row r="66" spans="1:5" x14ac:dyDescent="0.3">
      <c r="A66" t="s">
        <v>131</v>
      </c>
      <c r="B66" t="s">
        <v>130</v>
      </c>
      <c r="C66" t="str">
        <f t="shared" ref="C66:C129" si="3">""""&amp;A66&amp;""""</f>
        <v>"REPHUN 5 1/2 03/26/36"</v>
      </c>
      <c r="D66" t="str">
        <f t="shared" ref="D66:D129" si="4">""""&amp;B66&amp;""""</f>
        <v>"XS2744128369"</v>
      </c>
      <c r="E66" t="str">
        <f t="shared" ref="E66:E129" si="5">C66&amp;": "&amp;D66</f>
        <v>"REPHUN 5 1/2 03/26/36": "XS2744128369"</v>
      </c>
    </row>
    <row r="67" spans="1:5" x14ac:dyDescent="0.3">
      <c r="A67" t="s">
        <v>133</v>
      </c>
      <c r="B67" t="s">
        <v>132</v>
      </c>
      <c r="C67" t="str">
        <f t="shared" si="3"/>
        <v>"MEX 6 05/13/30"</v>
      </c>
      <c r="D67" t="str">
        <f t="shared" si="4"/>
        <v>"US91087BBB53"</v>
      </c>
      <c r="E67" t="str">
        <f t="shared" si="5"/>
        <v>"MEX 6 05/13/30": "US91087BBB53"</v>
      </c>
    </row>
    <row r="68" spans="1:5" x14ac:dyDescent="0.3">
      <c r="A68" t="s">
        <v>135</v>
      </c>
      <c r="B68" t="s">
        <v>134</v>
      </c>
      <c r="C68" t="str">
        <f t="shared" si="3"/>
        <v>"ADQABU 5 3/8 05/08/29"</v>
      </c>
      <c r="D68" t="str">
        <f t="shared" si="4"/>
        <v>"XS2816006303"</v>
      </c>
      <c r="E68" t="str">
        <f t="shared" si="5"/>
        <v>"ADQABU 5 3/8 05/08/29": "XS2816006303"</v>
      </c>
    </row>
    <row r="69" spans="1:5" x14ac:dyDescent="0.3">
      <c r="A69" t="s">
        <v>137</v>
      </c>
      <c r="B69" t="s">
        <v>136</v>
      </c>
      <c r="C69" t="str">
        <f t="shared" si="3"/>
        <v>"MEX 4 3/4 03/08/44"</v>
      </c>
      <c r="D69" t="str">
        <f t="shared" si="4"/>
        <v>"US91086QBB32"</v>
      </c>
      <c r="E69" t="str">
        <f t="shared" si="5"/>
        <v>"MEX 4 3/4 03/08/44": "US91086QBB32"</v>
      </c>
    </row>
    <row r="70" spans="1:5" x14ac:dyDescent="0.3">
      <c r="A70" t="s">
        <v>139</v>
      </c>
      <c r="B70" t="s">
        <v>138</v>
      </c>
      <c r="C70" t="str">
        <f t="shared" si="3"/>
        <v>"VALEBZ 6 7/8 11/21/36"</v>
      </c>
      <c r="D70" t="str">
        <f t="shared" si="4"/>
        <v>"US91911TAH68"</v>
      </c>
      <c r="E70" t="str">
        <f t="shared" si="5"/>
        <v>"VALEBZ 6 7/8 11/21/36": "US91911TAH68"</v>
      </c>
    </row>
    <row r="71" spans="1:5" x14ac:dyDescent="0.3">
      <c r="A71" t="s">
        <v>141</v>
      </c>
      <c r="B71" t="s">
        <v>140</v>
      </c>
      <c r="C71" t="str">
        <f t="shared" si="3"/>
        <v>"SQM 5 1/2 09/10/34"</v>
      </c>
      <c r="D71" t="str">
        <f t="shared" si="4"/>
        <v>"USP8718AAQ96"</v>
      </c>
      <c r="E71" t="str">
        <f t="shared" si="5"/>
        <v>"SQM 5 1/2 09/10/34": "USP8718AAQ96"</v>
      </c>
    </row>
    <row r="72" spans="1:5" x14ac:dyDescent="0.3">
      <c r="A72" t="s">
        <v>143</v>
      </c>
      <c r="B72" t="s">
        <v>142</v>
      </c>
      <c r="C72" t="str">
        <f t="shared" si="3"/>
        <v>"PERU 5 7/8 08/08/54"</v>
      </c>
      <c r="D72" t="str">
        <f t="shared" si="4"/>
        <v>"US715638EC21"</v>
      </c>
      <c r="E72" t="str">
        <f t="shared" si="5"/>
        <v>"PERU 5 7/8 08/08/54": "US715638EC21"</v>
      </c>
    </row>
    <row r="73" spans="1:5" x14ac:dyDescent="0.3">
      <c r="A73" t="s">
        <v>145</v>
      </c>
      <c r="B73" t="s">
        <v>144</v>
      </c>
      <c r="C73" t="str">
        <f t="shared" si="3"/>
        <v>"CFELEC 4.688 05/15/29"</v>
      </c>
      <c r="D73" t="str">
        <f t="shared" si="4"/>
        <v>"USP30179BQ04"</v>
      </c>
      <c r="E73" t="str">
        <f t="shared" si="5"/>
        <v>"CFELEC 4.688 05/15/29": "USP30179BQ04"</v>
      </c>
    </row>
    <row r="74" spans="1:5" x14ac:dyDescent="0.3">
      <c r="A74" t="s">
        <v>147</v>
      </c>
      <c r="B74" t="s">
        <v>146</v>
      </c>
      <c r="C74" t="str">
        <f t="shared" si="3"/>
        <v>"REPHUN 5 1/2 06/16/34"</v>
      </c>
      <c r="D74" t="str">
        <f t="shared" si="4"/>
        <v>"XS2010026487"</v>
      </c>
      <c r="E74" t="str">
        <f t="shared" si="5"/>
        <v>"REPHUN 5 1/2 06/16/34": "XS2010026487"</v>
      </c>
    </row>
    <row r="75" spans="1:5" x14ac:dyDescent="0.3">
      <c r="A75" t="s">
        <v>149</v>
      </c>
      <c r="B75" t="s">
        <v>148</v>
      </c>
      <c r="C75" t="str">
        <f t="shared" si="3"/>
        <v>"PIFKSA 5 1/4 01/29/30"</v>
      </c>
      <c r="D75" t="str">
        <f t="shared" si="4"/>
        <v>"XS2987801359"</v>
      </c>
      <c r="E75" t="str">
        <f t="shared" si="5"/>
        <v>"PIFKSA 5 1/4 01/29/30": "XS2987801359"</v>
      </c>
    </row>
    <row r="76" spans="1:5" x14ac:dyDescent="0.3">
      <c r="A76" t="s">
        <v>151</v>
      </c>
      <c r="B76" t="s">
        <v>150</v>
      </c>
      <c r="C76" t="str">
        <f t="shared" si="3"/>
        <v>"CHILE 4.95 01/05/36"</v>
      </c>
      <c r="D76" t="str">
        <f t="shared" si="4"/>
        <v>"US168863DZ80"</v>
      </c>
      <c r="E76" t="str">
        <f t="shared" si="5"/>
        <v>"CHILE 4.95 01/05/36": "US168863DZ80"</v>
      </c>
    </row>
    <row r="77" spans="1:5" x14ac:dyDescent="0.3">
      <c r="A77" t="s">
        <v>153</v>
      </c>
      <c r="B77" t="s">
        <v>152</v>
      </c>
      <c r="C77" t="str">
        <f t="shared" si="3"/>
        <v>"PERU 6.2 06/30/55"</v>
      </c>
      <c r="D77" t="str">
        <f t="shared" si="4"/>
        <v>"US715638FD94"</v>
      </c>
      <c r="E77" t="str">
        <f t="shared" si="5"/>
        <v>"PERU 6.2 06/30/55": "US715638FD94"</v>
      </c>
    </row>
    <row r="78" spans="1:5" x14ac:dyDescent="0.3">
      <c r="A78" t="s">
        <v>155</v>
      </c>
      <c r="B78" t="s">
        <v>154</v>
      </c>
      <c r="C78" t="str">
        <f t="shared" si="3"/>
        <v>"ROMANI 6 5/8 02/17/28"</v>
      </c>
      <c r="D78" t="str">
        <f t="shared" si="4"/>
        <v>"XS2571922884"</v>
      </c>
      <c r="E78" t="str">
        <f t="shared" si="5"/>
        <v>"ROMANI 6 5/8 02/17/28": "XS2571922884"</v>
      </c>
    </row>
    <row r="79" spans="1:5" x14ac:dyDescent="0.3">
      <c r="A79" t="s">
        <v>157</v>
      </c>
      <c r="B79" t="s">
        <v>156</v>
      </c>
      <c r="C79" t="str">
        <f t="shared" si="3"/>
        <v>"KSA 5 04/17/49"</v>
      </c>
      <c r="D79" t="str">
        <f t="shared" si="4"/>
        <v>"XS1791939736"</v>
      </c>
      <c r="E79" t="str">
        <f t="shared" si="5"/>
        <v>"KSA 5 04/17/49": "XS1791939736"</v>
      </c>
    </row>
    <row r="80" spans="1:5" x14ac:dyDescent="0.3">
      <c r="A80" t="s">
        <v>159</v>
      </c>
      <c r="B80" t="s">
        <v>158</v>
      </c>
      <c r="C80" t="str">
        <f t="shared" si="3"/>
        <v>"MEX 6.05 01/11/40"</v>
      </c>
      <c r="D80" t="str">
        <f t="shared" si="4"/>
        <v>"US91086QAV05"</v>
      </c>
      <c r="E80" t="str">
        <f t="shared" si="5"/>
        <v>"MEX 6.05 01/11/40": "US91086QAV05"</v>
      </c>
    </row>
    <row r="81" spans="1:5" x14ac:dyDescent="0.3">
      <c r="A81" t="s">
        <v>161</v>
      </c>
      <c r="B81" t="s">
        <v>160</v>
      </c>
      <c r="C81" t="str">
        <f t="shared" si="3"/>
        <v>"QATAR 4 3/4 05/29/34"</v>
      </c>
      <c r="D81" t="str">
        <f t="shared" si="4"/>
        <v>"XS2822506833"</v>
      </c>
      <c r="E81" t="str">
        <f t="shared" si="5"/>
        <v>"QATAR 4 3/4 05/29/34": "XS2822506833"</v>
      </c>
    </row>
    <row r="82" spans="1:5" x14ac:dyDescent="0.3">
      <c r="A82" t="s">
        <v>163</v>
      </c>
      <c r="B82" t="s">
        <v>162</v>
      </c>
      <c r="C82" t="str">
        <f t="shared" si="3"/>
        <v>"ARAMCO 2 1/4 11/24/30"</v>
      </c>
      <c r="D82" t="str">
        <f t="shared" si="4"/>
        <v>"XS2262853265"</v>
      </c>
      <c r="E82" t="str">
        <f t="shared" si="5"/>
        <v>"ARAMCO 2 1/4 11/24/30": "XS2262853265"</v>
      </c>
    </row>
    <row r="83" spans="1:5" x14ac:dyDescent="0.3">
      <c r="A83" t="s">
        <v>165</v>
      </c>
      <c r="B83" t="s">
        <v>164</v>
      </c>
      <c r="C83" t="str">
        <f t="shared" si="3"/>
        <v>"KSA 5 3/8 01/13/31"</v>
      </c>
      <c r="D83" t="str">
        <f t="shared" si="4"/>
        <v>"XS2974968161"</v>
      </c>
      <c r="E83" t="str">
        <f t="shared" si="5"/>
        <v>"KSA 5 3/8 01/13/31": "XS2974968161"</v>
      </c>
    </row>
    <row r="84" spans="1:5" x14ac:dyDescent="0.3">
      <c r="A84" t="s">
        <v>167</v>
      </c>
      <c r="B84" t="s">
        <v>166</v>
      </c>
      <c r="C84" t="str">
        <f t="shared" si="3"/>
        <v>"PRXNA 4.027 08/03/50"</v>
      </c>
      <c r="D84" t="str">
        <f t="shared" si="4"/>
        <v>"USN7163RAD54"</v>
      </c>
      <c r="E84" t="str">
        <f t="shared" si="5"/>
        <v>"PRXNA 4.027 08/03/50": "USN7163RAD54"</v>
      </c>
    </row>
    <row r="85" spans="1:5" x14ac:dyDescent="0.3">
      <c r="A85" t="s">
        <v>169</v>
      </c>
      <c r="B85" t="s">
        <v>168</v>
      </c>
      <c r="C85" t="str">
        <f t="shared" si="3"/>
        <v>"PRXNA 3.68 01/21/30"</v>
      </c>
      <c r="D85" t="str">
        <f t="shared" si="4"/>
        <v>"USN7163RAA16"</v>
      </c>
      <c r="E85" t="str">
        <f t="shared" si="5"/>
        <v>"PRXNA 3.68 01/21/30": "USN7163RAA16"</v>
      </c>
    </row>
    <row r="86" spans="1:5" x14ac:dyDescent="0.3">
      <c r="A86" t="s">
        <v>3</v>
      </c>
      <c r="B86" t="s">
        <v>170</v>
      </c>
      <c r="C86" t="str">
        <f t="shared" si="3"/>
        <v>"REPHUN 6 3/4 09/23/55"</v>
      </c>
      <c r="D86" t="str">
        <f t="shared" si="4"/>
        <v>"US445545AX42"</v>
      </c>
      <c r="E86" t="str">
        <f t="shared" si="5"/>
        <v>"REPHUN 6 3/4 09/23/55": "US445545AX42"</v>
      </c>
    </row>
    <row r="87" spans="1:5" x14ac:dyDescent="0.3">
      <c r="A87" t="s">
        <v>172</v>
      </c>
      <c r="B87" t="s">
        <v>171</v>
      </c>
      <c r="C87" t="str">
        <f t="shared" si="3"/>
        <v>"REPHUN 6 1/8 05/22/28"</v>
      </c>
      <c r="D87" t="str">
        <f t="shared" si="4"/>
        <v>"XS2574267188"</v>
      </c>
      <c r="E87" t="str">
        <f t="shared" si="5"/>
        <v>"REPHUN 6 1/8 05/22/28": "XS2574267188"</v>
      </c>
    </row>
    <row r="88" spans="1:5" x14ac:dyDescent="0.3">
      <c r="A88" t="s">
        <v>174</v>
      </c>
      <c r="B88" t="s">
        <v>173</v>
      </c>
      <c r="C88" t="str">
        <f t="shared" si="3"/>
        <v>"KSA 4 7/8 07/18/33"</v>
      </c>
      <c r="D88" t="str">
        <f t="shared" si="4"/>
        <v>"XS2577135127"</v>
      </c>
      <c r="E88" t="str">
        <f t="shared" si="5"/>
        <v>"KSA 4 7/8 07/18/33": "XS2577135127"</v>
      </c>
    </row>
    <row r="89" spans="1:5" x14ac:dyDescent="0.3">
      <c r="A89" t="s">
        <v>176</v>
      </c>
      <c r="B89" t="s">
        <v>175</v>
      </c>
      <c r="C89" t="str">
        <f t="shared" si="3"/>
        <v>"CHILE 3 1/2 01/31/34"</v>
      </c>
      <c r="D89" t="str">
        <f t="shared" si="4"/>
        <v>"US168863DV76"</v>
      </c>
      <c r="E89" t="str">
        <f t="shared" si="5"/>
        <v>"CHILE 3 1/2 01/31/34": "US168863DV76"</v>
      </c>
    </row>
    <row r="90" spans="1:5" x14ac:dyDescent="0.3">
      <c r="A90" t="s">
        <v>178</v>
      </c>
      <c r="B90" t="s">
        <v>177</v>
      </c>
      <c r="C90" t="str">
        <f t="shared" si="3"/>
        <v>"ROMANI 5 1/8 06/15/48"</v>
      </c>
      <c r="D90" t="str">
        <f t="shared" si="4"/>
        <v>"XS1837994794"</v>
      </c>
      <c r="E90" t="str">
        <f t="shared" si="5"/>
        <v>"ROMANI 5 1/8 06/15/48": "XS1837994794"</v>
      </c>
    </row>
    <row r="91" spans="1:5" x14ac:dyDescent="0.3">
      <c r="A91" t="s">
        <v>180</v>
      </c>
      <c r="B91" t="s">
        <v>179</v>
      </c>
      <c r="C91" t="str">
        <f t="shared" si="3"/>
        <v>"MEX 6.4 05/07/54"</v>
      </c>
      <c r="D91" t="str">
        <f t="shared" si="4"/>
        <v>"US91087BBA70"</v>
      </c>
      <c r="E91" t="str">
        <f t="shared" si="5"/>
        <v>"MEX 6.4 05/07/54": "US91087BBA70"</v>
      </c>
    </row>
    <row r="92" spans="1:5" x14ac:dyDescent="0.3">
      <c r="A92" t="s">
        <v>182</v>
      </c>
      <c r="B92" t="s">
        <v>181</v>
      </c>
      <c r="C92" t="str">
        <f t="shared" si="3"/>
        <v>"PERU 5 5/8 11/18/50"</v>
      </c>
      <c r="D92" t="str">
        <f t="shared" si="4"/>
        <v>"US715638BM30"</v>
      </c>
      <c r="E92" t="str">
        <f t="shared" si="5"/>
        <v>"PERU 5 5/8 11/18/50": "US715638BM30"</v>
      </c>
    </row>
    <row r="93" spans="1:5" x14ac:dyDescent="0.3">
      <c r="A93" t="s">
        <v>184</v>
      </c>
      <c r="B93" t="s">
        <v>183</v>
      </c>
      <c r="C93" t="str">
        <f t="shared" si="3"/>
        <v>"ROMANI 5 1/4 11/25/27"</v>
      </c>
      <c r="D93" t="str">
        <f t="shared" si="4"/>
        <v>"XS2485248806"</v>
      </c>
      <c r="E93" t="str">
        <f t="shared" si="5"/>
        <v>"ROMANI 5 1/4 11/25/27": "XS2485248806"</v>
      </c>
    </row>
    <row r="94" spans="1:5" x14ac:dyDescent="0.3">
      <c r="A94" t="s">
        <v>186</v>
      </c>
      <c r="B94" t="s">
        <v>185</v>
      </c>
      <c r="C94" t="str">
        <f t="shared" si="3"/>
        <v>"CHILE 5.65 01/13/37"</v>
      </c>
      <c r="D94" t="str">
        <f t="shared" si="4"/>
        <v>"US168863EE43"</v>
      </c>
      <c r="E94" t="str">
        <f t="shared" si="5"/>
        <v>"CHILE 5.65 01/13/37": "US168863EE43"</v>
      </c>
    </row>
    <row r="95" spans="1:5" x14ac:dyDescent="0.3">
      <c r="A95" t="s">
        <v>188</v>
      </c>
      <c r="B95" t="s">
        <v>187</v>
      </c>
      <c r="C95" t="str">
        <f t="shared" si="3"/>
        <v>"POLAND 4 7/8 10/04/33"</v>
      </c>
      <c r="D95" t="str">
        <f t="shared" si="4"/>
        <v>"US731011AV42"</v>
      </c>
      <c r="E95" t="str">
        <f t="shared" si="5"/>
        <v>"POLAND 4 7/8 10/04/33": "US731011AV42"</v>
      </c>
    </row>
    <row r="96" spans="1:5" x14ac:dyDescent="0.3">
      <c r="A96" t="s">
        <v>190</v>
      </c>
      <c r="B96" t="s">
        <v>189</v>
      </c>
      <c r="C96" t="str">
        <f t="shared" si="3"/>
        <v>"URUGUA 4 3/8 01/23/31"</v>
      </c>
      <c r="D96" t="str">
        <f t="shared" si="4"/>
        <v>"US917288BK78"</v>
      </c>
      <c r="E96" t="str">
        <f t="shared" si="5"/>
        <v>"URUGUA 4 3/8 01/23/31": "US917288BK78"</v>
      </c>
    </row>
    <row r="97" spans="1:5" x14ac:dyDescent="0.3">
      <c r="A97" t="s">
        <v>192</v>
      </c>
      <c r="B97" t="s">
        <v>191</v>
      </c>
      <c r="C97" t="str">
        <f t="shared" si="3"/>
        <v>"QATAR 4 7/8 02/27/35"</v>
      </c>
      <c r="D97" t="str">
        <f t="shared" si="4"/>
        <v>"XS2918565198"</v>
      </c>
      <c r="E97" t="str">
        <f t="shared" si="5"/>
        <v>"QATAR 4 7/8 02/27/35": "XS2918565198"</v>
      </c>
    </row>
    <row r="98" spans="1:5" x14ac:dyDescent="0.3">
      <c r="A98" t="s">
        <v>194</v>
      </c>
      <c r="B98" t="s">
        <v>193</v>
      </c>
      <c r="C98" t="str">
        <f t="shared" si="3"/>
        <v>"CDEL 6.33 01/13/35"</v>
      </c>
      <c r="D98" t="str">
        <f t="shared" si="4"/>
        <v>"USP3143NBV57"</v>
      </c>
      <c r="E98" t="str">
        <f t="shared" si="5"/>
        <v>"CDEL 6.33 01/13/35": "USP3143NBV57"</v>
      </c>
    </row>
    <row r="99" spans="1:5" x14ac:dyDescent="0.3">
      <c r="A99" t="s">
        <v>196</v>
      </c>
      <c r="B99" t="s">
        <v>195</v>
      </c>
      <c r="C99" t="str">
        <f t="shared" si="3"/>
        <v>"MEX 3 1/4 04/16/30"</v>
      </c>
      <c r="D99" t="str">
        <f t="shared" si="4"/>
        <v>"US91087BAH33"</v>
      </c>
      <c r="E99" t="str">
        <f t="shared" si="5"/>
        <v>"MEX 3 1/4 04/16/30": "US91087BAH33"</v>
      </c>
    </row>
    <row r="100" spans="1:5" x14ac:dyDescent="0.3">
      <c r="A100" t="s">
        <v>198</v>
      </c>
      <c r="B100" t="s">
        <v>197</v>
      </c>
      <c r="C100" t="str">
        <f t="shared" si="3"/>
        <v>"TAQAUH 4 3/8 10/09/31"</v>
      </c>
      <c r="D100" t="str">
        <f t="shared" si="4"/>
        <v>"XS2911044019"</v>
      </c>
      <c r="E100" t="str">
        <f t="shared" si="5"/>
        <v>"TAQAUH 4 3/8 10/09/31": "XS2911044019"</v>
      </c>
    </row>
    <row r="101" spans="1:5" x14ac:dyDescent="0.3">
      <c r="A101" t="s">
        <v>200</v>
      </c>
      <c r="B101" t="s">
        <v>199</v>
      </c>
      <c r="C101" t="str">
        <f t="shared" si="3"/>
        <v>"QATAR 4.4 04/16/50"</v>
      </c>
      <c r="D101" t="str">
        <f t="shared" si="4"/>
        <v>"XS2155352748"</v>
      </c>
      <c r="E101" t="str">
        <f t="shared" si="5"/>
        <v>"QATAR 4.4 04/16/50": "XS2155352748"</v>
      </c>
    </row>
    <row r="102" spans="1:5" x14ac:dyDescent="0.3">
      <c r="A102" t="s">
        <v>202</v>
      </c>
      <c r="B102" t="s">
        <v>201</v>
      </c>
      <c r="C102" t="str">
        <f t="shared" si="3"/>
        <v>"ADGB 3 1/8 09/30/49"</v>
      </c>
      <c r="D102" t="str">
        <f t="shared" si="4"/>
        <v>"XS2057866191"</v>
      </c>
      <c r="E102" t="str">
        <f t="shared" si="5"/>
        <v>"ADGB 3 1/8 09/30/49": "XS2057866191"</v>
      </c>
    </row>
    <row r="103" spans="1:5" x14ac:dyDescent="0.3">
      <c r="A103" t="s">
        <v>204</v>
      </c>
      <c r="B103" t="s">
        <v>203</v>
      </c>
      <c r="C103" t="str">
        <f t="shared" si="3"/>
        <v>"KSA 3 5/8 03/04/28"</v>
      </c>
      <c r="D103" t="str">
        <f t="shared" si="4"/>
        <v>"XS1694217495"</v>
      </c>
      <c r="E103" t="str">
        <f t="shared" si="5"/>
        <v>"KSA 3 5/8 03/04/28": "XS1694217495"</v>
      </c>
    </row>
    <row r="104" spans="1:5" x14ac:dyDescent="0.3">
      <c r="A104" t="s">
        <v>206</v>
      </c>
      <c r="B104" t="s">
        <v>205</v>
      </c>
      <c r="C104" t="str">
        <f t="shared" si="3"/>
        <v>"CDEL 6.78 01/13/55"</v>
      </c>
      <c r="D104" t="str">
        <f t="shared" si="4"/>
        <v>"USP3143NBW31"</v>
      </c>
      <c r="E104" t="str">
        <f t="shared" si="5"/>
        <v>"CDEL 6.78 01/13/55": "USP3143NBW31"</v>
      </c>
    </row>
    <row r="105" spans="1:5" x14ac:dyDescent="0.3">
      <c r="A105" t="s">
        <v>208</v>
      </c>
      <c r="B105" t="s">
        <v>207</v>
      </c>
      <c r="C105" t="str">
        <f t="shared" si="3"/>
        <v>"BGOSK 5 3/4 07/09/34"</v>
      </c>
      <c r="D105" t="str">
        <f t="shared" si="4"/>
        <v>"XS2851607403"</v>
      </c>
      <c r="E105" t="str">
        <f t="shared" si="5"/>
        <v>"BGOSK 5 3/4 07/09/34": "XS2851607403"</v>
      </c>
    </row>
    <row r="106" spans="1:5" x14ac:dyDescent="0.3">
      <c r="A106" t="s">
        <v>210</v>
      </c>
      <c r="B106" t="s">
        <v>209</v>
      </c>
      <c r="C106" t="str">
        <f t="shared" si="3"/>
        <v>"PIFKSA 5 01/29/29"</v>
      </c>
      <c r="D106" t="str">
        <f t="shared" si="4"/>
        <v>"XS2755904526"</v>
      </c>
      <c r="E106" t="str">
        <f t="shared" si="5"/>
        <v>"PIFKSA 5 01/29/29": "XS2755904526"</v>
      </c>
    </row>
    <row r="107" spans="1:5" x14ac:dyDescent="0.3">
      <c r="A107" t="s">
        <v>212</v>
      </c>
      <c r="B107" t="s">
        <v>211</v>
      </c>
      <c r="C107" t="str">
        <f t="shared" si="3"/>
        <v>"ADNOCM 4 1/2 09/11/34"</v>
      </c>
      <c r="D107" t="str">
        <f t="shared" si="4"/>
        <v>"XS2898198432"</v>
      </c>
      <c r="E107" t="str">
        <f t="shared" si="5"/>
        <v>"ADNOCM 4 1/2 09/11/34": "XS2898198432"</v>
      </c>
    </row>
    <row r="108" spans="1:5" x14ac:dyDescent="0.3">
      <c r="A108" t="s">
        <v>214</v>
      </c>
      <c r="B108" t="s">
        <v>213</v>
      </c>
      <c r="C108" t="str">
        <f t="shared" si="3"/>
        <v>"ADGB 4 1/8 10/11/47"</v>
      </c>
      <c r="D108" t="str">
        <f t="shared" si="4"/>
        <v>"XS1696899035"</v>
      </c>
      <c r="E108" t="str">
        <f t="shared" si="5"/>
        <v>"ADGB 4 1/8 10/11/47": "XS1696899035"</v>
      </c>
    </row>
    <row r="109" spans="1:5" x14ac:dyDescent="0.3">
      <c r="A109" t="s">
        <v>216</v>
      </c>
      <c r="B109" t="s">
        <v>215</v>
      </c>
      <c r="C109" t="str">
        <f t="shared" si="3"/>
        <v>"CFELEC 3.348 02/09/31"</v>
      </c>
      <c r="D109" t="str">
        <f t="shared" si="4"/>
        <v>"USP29595AD08"</v>
      </c>
      <c r="E109" t="str">
        <f t="shared" si="5"/>
        <v>"CFELEC 3.348 02/09/31": "USP29595AD08"</v>
      </c>
    </row>
    <row r="110" spans="1:5" x14ac:dyDescent="0.3">
      <c r="A110" t="s">
        <v>218</v>
      </c>
      <c r="B110" t="s">
        <v>217</v>
      </c>
      <c r="C110" t="str">
        <f t="shared" si="3"/>
        <v>"QATAR 5.103 04/23/48"</v>
      </c>
      <c r="D110" t="str">
        <f t="shared" si="4"/>
        <v>"XS1807174559"</v>
      </c>
      <c r="E110" t="str">
        <f t="shared" si="5"/>
        <v>"QATAR 5.103 04/23/48": "XS1807174559"</v>
      </c>
    </row>
    <row r="111" spans="1:5" x14ac:dyDescent="0.3">
      <c r="A111" t="s">
        <v>220</v>
      </c>
      <c r="B111" t="s">
        <v>219</v>
      </c>
      <c r="C111" t="str">
        <f t="shared" si="3"/>
        <v>"ARAMCO 3 1/2 11/24/70"</v>
      </c>
      <c r="D111" t="str">
        <f t="shared" si="4"/>
        <v>"XS2262853422"</v>
      </c>
      <c r="E111" t="str">
        <f t="shared" si="5"/>
        <v>"ARAMCO 3 1/2 11/24/70": "XS2262853422"</v>
      </c>
    </row>
    <row r="112" spans="1:5" x14ac:dyDescent="0.3">
      <c r="A112" t="s">
        <v>222</v>
      </c>
      <c r="B112" t="s">
        <v>221</v>
      </c>
      <c r="C112" t="str">
        <f t="shared" si="3"/>
        <v>"BGOSK 6 1/4 07/09/54"</v>
      </c>
      <c r="D112" t="str">
        <f t="shared" si="4"/>
        <v>"XS2851609102"</v>
      </c>
      <c r="E112" t="str">
        <f t="shared" si="5"/>
        <v>"BGOSK 6 1/4 07/09/54": "XS2851609102"</v>
      </c>
    </row>
    <row r="113" spans="1:5" x14ac:dyDescent="0.3">
      <c r="A113" t="s">
        <v>224</v>
      </c>
      <c r="B113" t="s">
        <v>223</v>
      </c>
      <c r="C113" t="str">
        <f t="shared" si="3"/>
        <v>"KSA 3.45 02/02/61"</v>
      </c>
      <c r="D113" t="str">
        <f t="shared" si="4"/>
        <v>"XS2294323386"</v>
      </c>
      <c r="E113" t="str">
        <f t="shared" si="5"/>
        <v>"KSA 3.45 02/02/61": "XS2294323386"</v>
      </c>
    </row>
    <row r="114" spans="1:5" x14ac:dyDescent="0.3">
      <c r="A114" t="s">
        <v>226</v>
      </c>
      <c r="B114" t="s">
        <v>225</v>
      </c>
      <c r="C114" t="str">
        <f t="shared" si="3"/>
        <v>"REPHUN 5 1/4 06/16/29"</v>
      </c>
      <c r="D114" t="str">
        <f t="shared" si="4"/>
        <v>"XS2010026305"</v>
      </c>
      <c r="E114" t="str">
        <f t="shared" si="5"/>
        <v>"REPHUN 5 1/4 06/16/29": "XS2010026305"</v>
      </c>
    </row>
    <row r="115" spans="1:5" x14ac:dyDescent="0.3">
      <c r="A115" t="s">
        <v>228</v>
      </c>
      <c r="B115" t="s">
        <v>227</v>
      </c>
      <c r="C115" t="str">
        <f t="shared" si="3"/>
        <v>"ADGB 3 1/8 04/16/30"</v>
      </c>
      <c r="D115" t="str">
        <f t="shared" si="4"/>
        <v>"XS2125308168"</v>
      </c>
      <c r="E115" t="str">
        <f t="shared" si="5"/>
        <v>"ADGB 3 1/8 04/16/30": "XS2125308168"</v>
      </c>
    </row>
    <row r="116" spans="1:5" x14ac:dyDescent="0.3">
      <c r="A116" t="s">
        <v>230</v>
      </c>
      <c r="B116" t="s">
        <v>229</v>
      </c>
      <c r="C116" t="str">
        <f t="shared" si="3"/>
        <v>"ROMANI 3 02/27/27"</v>
      </c>
      <c r="D116" t="str">
        <f t="shared" si="4"/>
        <v>"XS2434895988"</v>
      </c>
      <c r="E116" t="str">
        <f t="shared" si="5"/>
        <v>"ROMANI 3 02/27/27": "XS2434895988"</v>
      </c>
    </row>
    <row r="117" spans="1:5" x14ac:dyDescent="0.3">
      <c r="A117" t="s">
        <v>232</v>
      </c>
      <c r="B117" t="s">
        <v>231</v>
      </c>
      <c r="C117" t="str">
        <f t="shared" si="3"/>
        <v>"ADQABU 4 1/2 05/06/30"</v>
      </c>
      <c r="D117" t="str">
        <f t="shared" si="4"/>
        <v>"XS3061310101"</v>
      </c>
      <c r="E117" t="str">
        <f t="shared" si="5"/>
        <v>"ADQABU 4 1/2 05/06/30": "XS3061310101"</v>
      </c>
    </row>
    <row r="118" spans="1:5" x14ac:dyDescent="0.3">
      <c r="A118" t="s">
        <v>234</v>
      </c>
      <c r="B118" t="s">
        <v>233</v>
      </c>
      <c r="C118" t="str">
        <f t="shared" si="3"/>
        <v>"URUGUA 5.442 02/14/37"</v>
      </c>
      <c r="D118" t="str">
        <f t="shared" si="4"/>
        <v>"US760942BH42"</v>
      </c>
      <c r="E118" t="str">
        <f t="shared" si="5"/>
        <v>"URUGUA 5.442 02/14/37": "US760942BH42"</v>
      </c>
    </row>
    <row r="119" spans="1:5" x14ac:dyDescent="0.3">
      <c r="A119" t="s">
        <v>236</v>
      </c>
      <c r="B119" t="s">
        <v>235</v>
      </c>
      <c r="C119" t="str">
        <f t="shared" si="3"/>
        <v>"KSA 4 1/2 04/17/30"</v>
      </c>
      <c r="D119" t="str">
        <f t="shared" si="4"/>
        <v>"XS1791939066"</v>
      </c>
      <c r="E119" t="str">
        <f t="shared" si="5"/>
        <v>"KSA 4 1/2 04/17/30": "XS1791939066"</v>
      </c>
    </row>
    <row r="120" spans="1:5" x14ac:dyDescent="0.3">
      <c r="A120" t="s">
        <v>238</v>
      </c>
      <c r="B120" t="s">
        <v>237</v>
      </c>
      <c r="C120" t="str">
        <f t="shared" si="3"/>
        <v>"KSA 4 3/8 04/16/29"</v>
      </c>
      <c r="D120" t="str">
        <f t="shared" si="4"/>
        <v>"XS1936302865"</v>
      </c>
      <c r="E120" t="str">
        <f t="shared" si="5"/>
        <v>"KSA 4 3/8 04/16/29": "XS1936302865"</v>
      </c>
    </row>
    <row r="121" spans="1:5" x14ac:dyDescent="0.3">
      <c r="A121" t="s">
        <v>240</v>
      </c>
      <c r="B121" t="s">
        <v>239</v>
      </c>
      <c r="C121" t="str">
        <f t="shared" si="3"/>
        <v>"MEX 5.55 01/21/45"</v>
      </c>
      <c r="D121" t="str">
        <f t="shared" si="4"/>
        <v>"US91086QBE70"</v>
      </c>
      <c r="E121" t="str">
        <f t="shared" si="5"/>
        <v>"MEX 5.55 01/21/45": "US91086QBE70"</v>
      </c>
    </row>
    <row r="122" spans="1:5" x14ac:dyDescent="0.3">
      <c r="A122" t="s">
        <v>242</v>
      </c>
      <c r="B122" t="s">
        <v>241</v>
      </c>
      <c r="C122" t="str">
        <f t="shared" si="3"/>
        <v>"MEX 2.659 05/24/31"</v>
      </c>
      <c r="D122" t="str">
        <f t="shared" si="4"/>
        <v>"US91087BAM28"</v>
      </c>
      <c r="E122" t="str">
        <f t="shared" si="5"/>
        <v>"MEX 2.659 05/24/31": "US91087BAM28"</v>
      </c>
    </row>
    <row r="123" spans="1:5" x14ac:dyDescent="0.3">
      <c r="A123" t="s">
        <v>244</v>
      </c>
      <c r="B123" t="s">
        <v>243</v>
      </c>
      <c r="C123" t="str">
        <f t="shared" si="3"/>
        <v>"PIFKSA 4 3/4 02/14/30"</v>
      </c>
      <c r="D123" t="str">
        <f t="shared" si="4"/>
        <v>"XS2585987683"</v>
      </c>
      <c r="E123" t="str">
        <f t="shared" si="5"/>
        <v>"PIFKSA 4 3/4 02/14/30": "XS2585987683"</v>
      </c>
    </row>
    <row r="124" spans="1:5" x14ac:dyDescent="0.3">
      <c r="A124" t="s">
        <v>246</v>
      </c>
      <c r="B124" t="s">
        <v>245</v>
      </c>
      <c r="C124" t="str">
        <f t="shared" si="3"/>
        <v>"SQM 6 1/2 11/07/33"</v>
      </c>
      <c r="D124" t="str">
        <f t="shared" si="4"/>
        <v>"USP8718AAP14"</v>
      </c>
      <c r="E124" t="str">
        <f t="shared" si="5"/>
        <v>"SQM 6 1/2 11/07/33": "USP8718AAP14"</v>
      </c>
    </row>
    <row r="125" spans="1:5" x14ac:dyDescent="0.3">
      <c r="A125" t="s">
        <v>248</v>
      </c>
      <c r="B125" t="s">
        <v>247</v>
      </c>
      <c r="C125" t="str">
        <f t="shared" si="3"/>
        <v>"KSA 3 1/4 10/26/26"</v>
      </c>
      <c r="D125" t="str">
        <f t="shared" si="4"/>
        <v>"XS1508675417"</v>
      </c>
      <c r="E125" t="str">
        <f t="shared" si="5"/>
        <v>"KSA 3 1/4 10/26/26": "XS1508675417"</v>
      </c>
    </row>
    <row r="126" spans="1:5" x14ac:dyDescent="0.3">
      <c r="A126" t="s">
        <v>250</v>
      </c>
      <c r="B126" t="s">
        <v>249</v>
      </c>
      <c r="C126" t="str">
        <f t="shared" si="3"/>
        <v>"KSA 4 5/8 10/04/47"</v>
      </c>
      <c r="D126" t="str">
        <f t="shared" si="4"/>
        <v>"XS1694218469"</v>
      </c>
      <c r="E126" t="str">
        <f t="shared" si="5"/>
        <v>"KSA 4 5/8 10/04/47": "XS1694218469"</v>
      </c>
    </row>
    <row r="127" spans="1:5" x14ac:dyDescent="0.3">
      <c r="A127" t="s">
        <v>252</v>
      </c>
      <c r="B127" t="s">
        <v>251</v>
      </c>
      <c r="C127" t="str">
        <f t="shared" si="3"/>
        <v>"MUBAUH 5.294 06/04/34"</v>
      </c>
      <c r="D127" t="str">
        <f t="shared" si="4"/>
        <v>"XS2830445727"</v>
      </c>
      <c r="E127" t="str">
        <f t="shared" si="5"/>
        <v>"MUBAUH 5.294 06/04/34": "XS2830445727"</v>
      </c>
    </row>
    <row r="128" spans="1:5" x14ac:dyDescent="0.3">
      <c r="A128" t="s">
        <v>254</v>
      </c>
      <c r="B128" t="s">
        <v>253</v>
      </c>
      <c r="C128" t="str">
        <f t="shared" si="3"/>
        <v>"ARAMCO 3 1/4 11/24/50"</v>
      </c>
      <c r="D128" t="str">
        <f t="shared" si="4"/>
        <v>"XS2262853349"</v>
      </c>
      <c r="E128" t="str">
        <f t="shared" si="5"/>
        <v>"ARAMCO 3 1/4 11/24/50": "XS2262853349"</v>
      </c>
    </row>
    <row r="129" spans="1:5" x14ac:dyDescent="0.3">
      <c r="A129" t="s">
        <v>256</v>
      </c>
      <c r="B129" t="s">
        <v>255</v>
      </c>
      <c r="C129" t="str">
        <f t="shared" si="3"/>
        <v>"KSA 3 3/4 01/21/55"</v>
      </c>
      <c r="D129" t="str">
        <f t="shared" si="4"/>
        <v>"XS2109770151"</v>
      </c>
      <c r="E129" t="str">
        <f t="shared" si="5"/>
        <v>"KSA 3 3/4 01/21/55": "XS2109770151"</v>
      </c>
    </row>
    <row r="130" spans="1:5" x14ac:dyDescent="0.3">
      <c r="A130" t="s">
        <v>258</v>
      </c>
      <c r="B130" t="s">
        <v>257</v>
      </c>
      <c r="C130" t="str">
        <f t="shared" ref="C130:C193" si="6">""""&amp;A130&amp;""""</f>
        <v>"MEX 6.338 05/04/53"</v>
      </c>
      <c r="D130" t="str">
        <f t="shared" ref="D130:D193" si="7">""""&amp;B130&amp;""""</f>
        <v>"US91087BAX82"</v>
      </c>
      <c r="E130" t="str">
        <f t="shared" ref="E130:E193" si="8">C130&amp;": "&amp;D130</f>
        <v>"MEX 6.338 05/04/53": "US91087BAX82"</v>
      </c>
    </row>
    <row r="131" spans="1:5" x14ac:dyDescent="0.3">
      <c r="A131" t="s">
        <v>260</v>
      </c>
      <c r="B131" t="s">
        <v>259</v>
      </c>
      <c r="C131" t="str">
        <f t="shared" si="6"/>
        <v>"POLAND 3 1/4 04/06/26"</v>
      </c>
      <c r="D131" t="str">
        <f t="shared" si="7"/>
        <v>"US731011AU68"</v>
      </c>
      <c r="E131" t="str">
        <f t="shared" si="8"/>
        <v>"POLAND 3 1/4 04/06/26": "US731011AU68"</v>
      </c>
    </row>
    <row r="132" spans="1:5" x14ac:dyDescent="0.3">
      <c r="A132" t="s">
        <v>7</v>
      </c>
      <c r="B132" t="s">
        <v>261</v>
      </c>
      <c r="C132" t="str">
        <f t="shared" si="6"/>
        <v>"REPHUN 6 09/26/35"</v>
      </c>
      <c r="D132" t="str">
        <f t="shared" si="7"/>
        <v>"US445545AW68"</v>
      </c>
      <c r="E132" t="str">
        <f t="shared" si="8"/>
        <v>"REPHUN 6 09/26/35": "US445545AW68"</v>
      </c>
    </row>
    <row r="133" spans="1:5" x14ac:dyDescent="0.3">
      <c r="A133" t="s">
        <v>263</v>
      </c>
      <c r="B133" t="s">
        <v>262</v>
      </c>
      <c r="C133" t="str">
        <f t="shared" si="6"/>
        <v>"ROMANI 3 02/14/31"</v>
      </c>
      <c r="D133" t="str">
        <f t="shared" si="7"/>
        <v>"XS2201851172"</v>
      </c>
      <c r="E133" t="str">
        <f t="shared" si="8"/>
        <v>"ROMANI 3 02/14/31": "XS2201851172"</v>
      </c>
    </row>
    <row r="134" spans="1:5" x14ac:dyDescent="0.3">
      <c r="A134" t="s">
        <v>265</v>
      </c>
      <c r="B134" t="s">
        <v>264</v>
      </c>
      <c r="C134" t="str">
        <f t="shared" si="6"/>
        <v>"QATAR 4.817 03/14/49"</v>
      </c>
      <c r="D134" t="str">
        <f t="shared" si="7"/>
        <v>"XS1959337749"</v>
      </c>
      <c r="E134" t="str">
        <f t="shared" si="8"/>
        <v>"QATAR 4.817 03/14/49": "XS1959337749"</v>
      </c>
    </row>
    <row r="135" spans="1:5" x14ac:dyDescent="0.3">
      <c r="A135" t="s">
        <v>267</v>
      </c>
      <c r="B135" t="s">
        <v>266</v>
      </c>
      <c r="C135" t="str">
        <f t="shared" si="6"/>
        <v>"REPHUN 2 1/8 09/22/31"</v>
      </c>
      <c r="D135" t="str">
        <f t="shared" si="7"/>
        <v>"XS2388586401"</v>
      </c>
      <c r="E135" t="str">
        <f t="shared" si="8"/>
        <v>"REPHUN 2 1/8 09/22/31": "XS2388586401"</v>
      </c>
    </row>
    <row r="136" spans="1:5" x14ac:dyDescent="0.3">
      <c r="A136" t="s">
        <v>269</v>
      </c>
      <c r="B136" t="s">
        <v>268</v>
      </c>
      <c r="C136" t="str">
        <f t="shared" si="6"/>
        <v>"ADQABU 5 1/2 05/08/34"</v>
      </c>
      <c r="D136" t="str">
        <f t="shared" si="7"/>
        <v>"XS2816006725"</v>
      </c>
      <c r="E136" t="str">
        <f t="shared" si="8"/>
        <v>"ADQABU 5 1/2 05/08/34": "XS2816006725"</v>
      </c>
    </row>
    <row r="137" spans="1:5" x14ac:dyDescent="0.3">
      <c r="A137" t="s">
        <v>271</v>
      </c>
      <c r="B137" t="s">
        <v>270</v>
      </c>
      <c r="C137" t="str">
        <f t="shared" si="6"/>
        <v>"CHILE 5.33 01/05/54"</v>
      </c>
      <c r="D137" t="str">
        <f t="shared" si="7"/>
        <v>"US168863EA21"</v>
      </c>
      <c r="E137" t="str">
        <f t="shared" si="8"/>
        <v>"CHILE 5.33 01/05/54": "US168863EA21"</v>
      </c>
    </row>
    <row r="138" spans="1:5" x14ac:dyDescent="0.3">
      <c r="A138" t="s">
        <v>273</v>
      </c>
      <c r="B138" t="s">
        <v>272</v>
      </c>
      <c r="C138" t="str">
        <f t="shared" si="6"/>
        <v>"ADGB 1.7 03/02/31"</v>
      </c>
      <c r="D138" t="str">
        <f t="shared" si="7"/>
        <v>"XS2225210413"</v>
      </c>
      <c r="E138" t="str">
        <f t="shared" si="8"/>
        <v>"ADGB 1.7 03/02/31": "XS2225210413"</v>
      </c>
    </row>
    <row r="139" spans="1:5" x14ac:dyDescent="0.3">
      <c r="A139" t="s">
        <v>275</v>
      </c>
      <c r="B139" t="s">
        <v>274</v>
      </c>
      <c r="C139" t="str">
        <f t="shared" si="6"/>
        <v>"MEX 4 7/8 05/19/33"</v>
      </c>
      <c r="D139" t="str">
        <f t="shared" si="7"/>
        <v>"US91087BAT70"</v>
      </c>
      <c r="E139" t="str">
        <f t="shared" si="8"/>
        <v>"MEX 4 7/8 05/19/33": "US91087BAT70"</v>
      </c>
    </row>
    <row r="140" spans="1:5" x14ac:dyDescent="0.3">
      <c r="A140" t="s">
        <v>277</v>
      </c>
      <c r="B140" t="s">
        <v>276</v>
      </c>
      <c r="C140" t="str">
        <f t="shared" si="6"/>
        <v>"PRXNA 3.832 02/08/51"</v>
      </c>
      <c r="D140" t="str">
        <f t="shared" si="7"/>
        <v>"USN7163RAQ67"</v>
      </c>
      <c r="E140" t="str">
        <f t="shared" si="8"/>
        <v>"PRXNA 3.832 02/08/51": "USN7163RAQ67"</v>
      </c>
    </row>
    <row r="141" spans="1:5" x14ac:dyDescent="0.3">
      <c r="A141" t="s">
        <v>279</v>
      </c>
      <c r="B141" t="s">
        <v>278</v>
      </c>
      <c r="C141" t="str">
        <f t="shared" si="6"/>
        <v>"PIFKSA 5 1/4 01/29/34"</v>
      </c>
      <c r="D141" t="str">
        <f t="shared" si="7"/>
        <v>"XS2755904799"</v>
      </c>
      <c r="E141" t="str">
        <f t="shared" si="8"/>
        <v>"PIFKSA 5 1/4 01/29/34": "XS2755904799"</v>
      </c>
    </row>
    <row r="142" spans="1:5" x14ac:dyDescent="0.3">
      <c r="A142" t="s">
        <v>281</v>
      </c>
      <c r="B142" t="s">
        <v>280</v>
      </c>
      <c r="C142" t="str">
        <f t="shared" si="6"/>
        <v>"BGOSK 5 3/8 05/22/33"</v>
      </c>
      <c r="D142" t="str">
        <f t="shared" si="7"/>
        <v>"XS2625207571"</v>
      </c>
      <c r="E142" t="str">
        <f t="shared" si="8"/>
        <v>"BGOSK 5 3/8 05/22/33": "XS2625207571"</v>
      </c>
    </row>
    <row r="143" spans="1:5" x14ac:dyDescent="0.3">
      <c r="A143" t="s">
        <v>283</v>
      </c>
      <c r="B143" t="s">
        <v>282</v>
      </c>
      <c r="C143" t="str">
        <f t="shared" si="6"/>
        <v>"KSA 4 1/2 04/22/60"</v>
      </c>
      <c r="D143" t="str">
        <f t="shared" si="7"/>
        <v>"XS2159975882"</v>
      </c>
      <c r="E143" t="str">
        <f t="shared" si="8"/>
        <v>"KSA 4 1/2 04/22/60": "XS2159975882"</v>
      </c>
    </row>
    <row r="144" spans="1:5" x14ac:dyDescent="0.3">
      <c r="A144" t="s">
        <v>285</v>
      </c>
      <c r="B144" t="s">
        <v>284</v>
      </c>
      <c r="C144" t="str">
        <f t="shared" si="6"/>
        <v>"PERU 2.783 01/23/31"</v>
      </c>
      <c r="D144" t="str">
        <f t="shared" si="7"/>
        <v>"US715638DF60"</v>
      </c>
      <c r="E144" t="str">
        <f t="shared" si="8"/>
        <v>"PERU 2.783 01/23/31": "US715638DF60"</v>
      </c>
    </row>
    <row r="145" spans="1:5" x14ac:dyDescent="0.3">
      <c r="A145" t="s">
        <v>287</v>
      </c>
      <c r="B145" t="s">
        <v>286</v>
      </c>
      <c r="C145" t="str">
        <f t="shared" si="6"/>
        <v>"URUGUA 5 3/4 10/28/34"</v>
      </c>
      <c r="D145" t="str">
        <f t="shared" si="7"/>
        <v>"US760942BE11"</v>
      </c>
      <c r="E145" t="str">
        <f t="shared" si="8"/>
        <v>"URUGUA 5 3/4 10/28/34": "US760942BE11"</v>
      </c>
    </row>
    <row r="146" spans="1:5" x14ac:dyDescent="0.3">
      <c r="A146" t="s">
        <v>289</v>
      </c>
      <c r="B146" t="s">
        <v>288</v>
      </c>
      <c r="C146" t="str">
        <f t="shared" si="6"/>
        <v>"CHILE 4.85 01/22/29"</v>
      </c>
      <c r="D146" t="str">
        <f t="shared" si="7"/>
        <v>"US168863EB04"</v>
      </c>
      <c r="E146" t="str">
        <f t="shared" si="8"/>
        <v>"CHILE 4.85 01/22/29": "US168863EB04"</v>
      </c>
    </row>
    <row r="147" spans="1:5" x14ac:dyDescent="0.3">
      <c r="A147" t="s">
        <v>291</v>
      </c>
      <c r="B147" t="s">
        <v>290</v>
      </c>
      <c r="C147" t="str">
        <f t="shared" si="6"/>
        <v>"ARAMCO 4 3/8 04/16/49"</v>
      </c>
      <c r="D147" t="str">
        <f t="shared" si="7"/>
        <v>"XS1982116136"</v>
      </c>
      <c r="E147" t="str">
        <f t="shared" si="8"/>
        <v>"ARAMCO 4 3/8 04/16/49": "XS1982116136"</v>
      </c>
    </row>
    <row r="148" spans="1:5" x14ac:dyDescent="0.3">
      <c r="A148" t="s">
        <v>293</v>
      </c>
      <c r="B148" t="s">
        <v>292</v>
      </c>
      <c r="C148" t="str">
        <f t="shared" si="6"/>
        <v>"PRXNA 4.193 01/19/32"</v>
      </c>
      <c r="D148" t="str">
        <f t="shared" si="7"/>
        <v>"US74365PAH10"</v>
      </c>
      <c r="E148" t="str">
        <f t="shared" si="8"/>
        <v>"PRXNA 4.193 01/19/32": "US74365PAH10"</v>
      </c>
    </row>
    <row r="149" spans="1:5" x14ac:dyDescent="0.3">
      <c r="A149" t="s">
        <v>295</v>
      </c>
      <c r="B149" t="s">
        <v>294</v>
      </c>
      <c r="C149" t="str">
        <f t="shared" si="6"/>
        <v>"ADGB 2.7 09/02/70"</v>
      </c>
      <c r="D149" t="str">
        <f t="shared" si="7"/>
        <v>"XS2225210330"</v>
      </c>
      <c r="E149" t="str">
        <f t="shared" si="8"/>
        <v>"ADGB 2.7 09/02/70": "XS2225210330"</v>
      </c>
    </row>
    <row r="150" spans="1:5" x14ac:dyDescent="0.3">
      <c r="A150" t="s">
        <v>297</v>
      </c>
      <c r="B150" t="s">
        <v>296</v>
      </c>
      <c r="C150" t="str">
        <f t="shared" si="6"/>
        <v>"QATAR 3 3/4 04/16/30"</v>
      </c>
      <c r="D150" t="str">
        <f t="shared" si="7"/>
        <v>"XS2155352664"</v>
      </c>
      <c r="E150" t="str">
        <f t="shared" si="8"/>
        <v>"QATAR 3 3/4 04/16/30": "XS2155352664"</v>
      </c>
    </row>
    <row r="151" spans="1:5" x14ac:dyDescent="0.3">
      <c r="A151" t="s">
        <v>299</v>
      </c>
      <c r="B151" t="s">
        <v>298</v>
      </c>
      <c r="C151" t="str">
        <f t="shared" si="6"/>
        <v>"QATAR 3 1/4 06/02/26"</v>
      </c>
      <c r="D151" t="str">
        <f t="shared" si="7"/>
        <v>"XS1405782159"</v>
      </c>
      <c r="E151" t="str">
        <f t="shared" si="8"/>
        <v>"QATAR 3 1/4 06/02/26": "XS1405782159"</v>
      </c>
    </row>
    <row r="152" spans="1:5" x14ac:dyDescent="0.3">
      <c r="A152" t="s">
        <v>301</v>
      </c>
      <c r="B152" t="s">
        <v>300</v>
      </c>
      <c r="C152" t="str">
        <f t="shared" si="6"/>
        <v>"AALLN 5 3/4 04/05/34"</v>
      </c>
      <c r="D152" t="str">
        <f t="shared" si="7"/>
        <v>"US034863BE99"</v>
      </c>
      <c r="E152" t="str">
        <f t="shared" si="8"/>
        <v>"AALLN 5 3/4 04/05/34": "US034863BE99"</v>
      </c>
    </row>
    <row r="153" spans="1:5" x14ac:dyDescent="0.3">
      <c r="A153" t="s">
        <v>303</v>
      </c>
      <c r="B153" t="s">
        <v>302</v>
      </c>
      <c r="C153" t="str">
        <f t="shared" si="6"/>
        <v>"PERU 2.78 12/01/60"</v>
      </c>
      <c r="D153" t="str">
        <f t="shared" si="7"/>
        <v>"US715638DQ26"</v>
      </c>
      <c r="E153" t="str">
        <f t="shared" si="8"/>
        <v>"PERU 2.78 12/01/60": "US715638DQ26"</v>
      </c>
    </row>
    <row r="154" spans="1:5" x14ac:dyDescent="0.3">
      <c r="A154" t="s">
        <v>305</v>
      </c>
      <c r="B154" t="s">
        <v>304</v>
      </c>
      <c r="C154" t="str">
        <f t="shared" si="6"/>
        <v>"MEX 6 3/4 09/27/34"</v>
      </c>
      <c r="D154" t="str">
        <f t="shared" si="7"/>
        <v>"US91086QAS75"</v>
      </c>
      <c r="E154" t="str">
        <f t="shared" si="8"/>
        <v>"MEX 6 3/4 09/27/34": "US91086QAS75"</v>
      </c>
    </row>
    <row r="155" spans="1:5" x14ac:dyDescent="0.3">
      <c r="A155" t="s">
        <v>307</v>
      </c>
      <c r="B155" t="s">
        <v>306</v>
      </c>
      <c r="C155" t="str">
        <f t="shared" si="6"/>
        <v>"URUGUA 4 1/8 11/20/45"</v>
      </c>
      <c r="D155" t="str">
        <f t="shared" si="7"/>
        <v>"US760942AY83"</v>
      </c>
      <c r="E155" t="str">
        <f t="shared" si="8"/>
        <v>"URUGUA 4 1/8 11/20/45": "US760942AY83"</v>
      </c>
    </row>
    <row r="156" spans="1:5" x14ac:dyDescent="0.3">
      <c r="A156" t="s">
        <v>11</v>
      </c>
      <c r="B156" t="s">
        <v>308</v>
      </c>
      <c r="C156" t="str">
        <f t="shared" si="6"/>
        <v>"ARAMCO 6 3/8 06/02/55"</v>
      </c>
      <c r="D156" t="str">
        <f t="shared" si="7"/>
        <v>"US80414L3F04"</v>
      </c>
      <c r="E156" t="str">
        <f t="shared" si="8"/>
        <v>"ARAMCO 6 3/8 06/02/55": "US80414L3F04"</v>
      </c>
    </row>
    <row r="157" spans="1:5" x14ac:dyDescent="0.3">
      <c r="A157" t="s">
        <v>310</v>
      </c>
      <c r="B157" t="s">
        <v>309</v>
      </c>
      <c r="C157" t="str">
        <f t="shared" si="6"/>
        <v>"CDEL 6.44 01/26/36"</v>
      </c>
      <c r="D157" t="str">
        <f t="shared" si="7"/>
        <v>"USP3143NBT02"</v>
      </c>
      <c r="E157" t="str">
        <f t="shared" si="8"/>
        <v>"CDEL 6.44 01/26/36": "USP3143NBT02"</v>
      </c>
    </row>
    <row r="158" spans="1:5" x14ac:dyDescent="0.3">
      <c r="A158" t="s">
        <v>312</v>
      </c>
      <c r="B158" t="s">
        <v>311</v>
      </c>
      <c r="C158" t="str">
        <f t="shared" si="6"/>
        <v>"PRXNA 4.987 01/19/52"</v>
      </c>
      <c r="D158" t="str">
        <f t="shared" si="7"/>
        <v>"USN7163RAY91"</v>
      </c>
      <c r="E158" t="str">
        <f t="shared" si="8"/>
        <v>"PRXNA 4.987 01/19/52": "USN7163RAY91"</v>
      </c>
    </row>
    <row r="159" spans="1:5" x14ac:dyDescent="0.3">
      <c r="A159" t="s">
        <v>51</v>
      </c>
      <c r="B159" t="s">
        <v>313</v>
      </c>
      <c r="C159" t="str">
        <f t="shared" si="6"/>
        <v>"ROMANI 6 5/8 05/16/36"</v>
      </c>
      <c r="D159" t="str">
        <f t="shared" si="7"/>
        <v>"US77586RAX89"</v>
      </c>
      <c r="E159" t="str">
        <f t="shared" si="8"/>
        <v>"ROMANI 6 5/8 05/16/36": "US77586RAX89"</v>
      </c>
    </row>
    <row r="160" spans="1:5" x14ac:dyDescent="0.3">
      <c r="A160" t="s">
        <v>315</v>
      </c>
      <c r="B160" t="s">
        <v>314</v>
      </c>
      <c r="C160" t="str">
        <f t="shared" si="6"/>
        <v>"CHILE 2.55 01/27/32"</v>
      </c>
      <c r="D160" t="str">
        <f t="shared" si="7"/>
        <v>"US168863DN50"</v>
      </c>
      <c r="E160" t="str">
        <f t="shared" si="8"/>
        <v>"CHILE 2.55 01/27/32": "US168863DN50"</v>
      </c>
    </row>
    <row r="161" spans="1:5" x14ac:dyDescent="0.3">
      <c r="A161" t="s">
        <v>317</v>
      </c>
      <c r="B161" t="s">
        <v>316</v>
      </c>
      <c r="C161" t="str">
        <f t="shared" si="6"/>
        <v>"ADGB 3 1/8 10/11/27"</v>
      </c>
      <c r="D161" t="str">
        <f t="shared" si="7"/>
        <v>"XS1696892295"</v>
      </c>
      <c r="E161" t="str">
        <f t="shared" si="8"/>
        <v>"ADGB 3 1/8 10/11/27": "XS1696892295"</v>
      </c>
    </row>
    <row r="162" spans="1:5" x14ac:dyDescent="0.3">
      <c r="A162" t="s">
        <v>21</v>
      </c>
      <c r="B162" t="s">
        <v>318</v>
      </c>
      <c r="C162" t="str">
        <f t="shared" si="6"/>
        <v>"ROMANI 5 3/4 03/24/35"</v>
      </c>
      <c r="D162" t="str">
        <f t="shared" si="7"/>
        <v>"US77586RAV24"</v>
      </c>
      <c r="E162" t="str">
        <f t="shared" si="8"/>
        <v>"ROMANI 5 3/4 03/24/35": "US77586RAV24"</v>
      </c>
    </row>
    <row r="163" spans="1:5" x14ac:dyDescent="0.3">
      <c r="A163" t="s">
        <v>320</v>
      </c>
      <c r="B163" t="s">
        <v>319</v>
      </c>
      <c r="C163" t="str">
        <f t="shared" si="6"/>
        <v>"PRXNA 3.061 07/13/31"</v>
      </c>
      <c r="D163" t="str">
        <f t="shared" si="7"/>
        <v>"USN7163RAR41"</v>
      </c>
      <c r="E163" t="str">
        <f t="shared" si="8"/>
        <v>"PRXNA 3.061 07/13/31": "USN7163RAR41"</v>
      </c>
    </row>
    <row r="164" spans="1:5" x14ac:dyDescent="0.3">
      <c r="A164" t="s">
        <v>322</v>
      </c>
      <c r="B164" t="s">
        <v>321</v>
      </c>
      <c r="C164" t="str">
        <f t="shared" si="6"/>
        <v>"PERU 3 01/15/34"</v>
      </c>
      <c r="D164" t="str">
        <f t="shared" si="7"/>
        <v>"US715638DU38"</v>
      </c>
      <c r="E164" t="str">
        <f t="shared" si="8"/>
        <v>"PERU 3 01/15/34": "US715638DU38"</v>
      </c>
    </row>
    <row r="165" spans="1:5" x14ac:dyDescent="0.3">
      <c r="A165" t="s">
        <v>324</v>
      </c>
      <c r="B165" t="s">
        <v>323</v>
      </c>
      <c r="C165" t="str">
        <f t="shared" si="6"/>
        <v>"CHILE 3.24 02/06/28"</v>
      </c>
      <c r="D165" t="str">
        <f t="shared" si="7"/>
        <v>"US168863CF36"</v>
      </c>
      <c r="E165" t="str">
        <f t="shared" si="8"/>
        <v>"CHILE 3.24 02/06/28": "US168863CF36"</v>
      </c>
    </row>
    <row r="166" spans="1:5" x14ac:dyDescent="0.3">
      <c r="A166" t="s">
        <v>326</v>
      </c>
      <c r="B166" t="s">
        <v>325</v>
      </c>
      <c r="C166" t="str">
        <f t="shared" si="6"/>
        <v>"ADGB 3 7/8 04/16/50"</v>
      </c>
      <c r="D166" t="str">
        <f t="shared" si="7"/>
        <v>"XS2125308242"</v>
      </c>
      <c r="E166" t="str">
        <f t="shared" si="8"/>
        <v>"ADGB 3 7/8 04/16/50": "XS2125308242"</v>
      </c>
    </row>
    <row r="167" spans="1:5" x14ac:dyDescent="0.3">
      <c r="A167" t="s">
        <v>328</v>
      </c>
      <c r="B167" t="s">
        <v>327</v>
      </c>
      <c r="C167" t="str">
        <f t="shared" si="6"/>
        <v>"PERU 5 3/8 02/08/35"</v>
      </c>
      <c r="D167" t="str">
        <f t="shared" si="7"/>
        <v>"US715638EB48"</v>
      </c>
      <c r="E167" t="str">
        <f t="shared" si="8"/>
        <v>"PERU 5 3/8 02/08/35": "US715638EB48"</v>
      </c>
    </row>
    <row r="168" spans="1:5" x14ac:dyDescent="0.3">
      <c r="A168" t="s">
        <v>330</v>
      </c>
      <c r="B168" t="s">
        <v>329</v>
      </c>
      <c r="C168" t="str">
        <f t="shared" si="6"/>
        <v>"UAE 4.857 07/02/34"</v>
      </c>
      <c r="D168" t="str">
        <f t="shared" si="7"/>
        <v>"XS2850662631"</v>
      </c>
      <c r="E168" t="str">
        <f t="shared" si="8"/>
        <v>"UAE 4.857 07/02/34": "XS2850662631"</v>
      </c>
    </row>
    <row r="169" spans="1:5" x14ac:dyDescent="0.3">
      <c r="A169" t="s">
        <v>332</v>
      </c>
      <c r="B169" t="s">
        <v>331</v>
      </c>
      <c r="C169" t="str">
        <f t="shared" si="6"/>
        <v>"PIFKSA 5 5/8 07/29/34"</v>
      </c>
      <c r="D169" t="str">
        <f t="shared" si="7"/>
        <v>"XS2987801433"</v>
      </c>
      <c r="E169" t="str">
        <f t="shared" si="8"/>
        <v>"PIFKSA 5 5/8 07/29/34": "XS2987801433"</v>
      </c>
    </row>
    <row r="170" spans="1:5" x14ac:dyDescent="0.3">
      <c r="A170" t="s">
        <v>334</v>
      </c>
      <c r="B170" t="s">
        <v>333</v>
      </c>
      <c r="C170" t="str">
        <f t="shared" si="6"/>
        <v>"POLAND 5 1/2 11/16/27"</v>
      </c>
      <c r="D170" t="str">
        <f t="shared" si="7"/>
        <v>"US857524AD47"</v>
      </c>
      <c r="E170" t="str">
        <f t="shared" si="8"/>
        <v>"POLAND 5 1/2 11/16/27": "US857524AD47"</v>
      </c>
    </row>
    <row r="171" spans="1:5" x14ac:dyDescent="0.3">
      <c r="A171" t="s">
        <v>293</v>
      </c>
      <c r="B171" t="s">
        <v>335</v>
      </c>
      <c r="C171" t="str">
        <f t="shared" si="6"/>
        <v>"PRXNA 4.193 01/19/32"</v>
      </c>
      <c r="D171" t="str">
        <f t="shared" si="7"/>
        <v>"USN7163RAX19"</v>
      </c>
      <c r="E171" t="str">
        <f t="shared" si="8"/>
        <v>"PRXNA 4.193 01/19/32": "USN7163RAX19"</v>
      </c>
    </row>
    <row r="172" spans="1:5" x14ac:dyDescent="0.3">
      <c r="A172" t="s">
        <v>337</v>
      </c>
      <c r="B172" t="s">
        <v>336</v>
      </c>
      <c r="C172" t="str">
        <f t="shared" si="6"/>
        <v>"KSA 2 1/4 02/02/33"</v>
      </c>
      <c r="D172" t="str">
        <f t="shared" si="7"/>
        <v>"XS2294322818"</v>
      </c>
      <c r="E172" t="str">
        <f t="shared" si="8"/>
        <v>"KSA 2 1/4 02/02/33": "XS2294322818"</v>
      </c>
    </row>
    <row r="173" spans="1:5" x14ac:dyDescent="0.3">
      <c r="A173" t="s">
        <v>339</v>
      </c>
      <c r="B173" t="s">
        <v>338</v>
      </c>
      <c r="C173" t="str">
        <f t="shared" si="6"/>
        <v>"MEX 4.4 02/12/52"</v>
      </c>
      <c r="D173" t="str">
        <f t="shared" si="7"/>
        <v>"US91087BAS97"</v>
      </c>
      <c r="E173" t="str">
        <f t="shared" si="8"/>
        <v>"MEX 4.4 02/12/52": "US91087BAS97"</v>
      </c>
    </row>
    <row r="174" spans="1:5" x14ac:dyDescent="0.3">
      <c r="A174" t="s">
        <v>341</v>
      </c>
      <c r="B174" t="s">
        <v>340</v>
      </c>
      <c r="C174" t="str">
        <f t="shared" si="6"/>
        <v>"CHILE 2.55 07/27/33"</v>
      </c>
      <c r="D174" t="str">
        <f t="shared" si="7"/>
        <v>"US168863DT21"</v>
      </c>
      <c r="E174" t="str">
        <f t="shared" si="8"/>
        <v>"CHILE 2.55 07/27/33": "US168863DT21"</v>
      </c>
    </row>
    <row r="175" spans="1:5" x14ac:dyDescent="0.3">
      <c r="A175" t="s">
        <v>343</v>
      </c>
      <c r="B175" t="s">
        <v>342</v>
      </c>
      <c r="C175" t="str">
        <f t="shared" si="6"/>
        <v>"PRXNA 3.257 01/19/27"</v>
      </c>
      <c r="D175" t="str">
        <f t="shared" si="7"/>
        <v>"USN7163RAW36"</v>
      </c>
      <c r="E175" t="str">
        <f t="shared" si="8"/>
        <v>"PRXNA 3.257 01/19/27": "USN7163RAW36"</v>
      </c>
    </row>
    <row r="176" spans="1:5" x14ac:dyDescent="0.3">
      <c r="A176" t="s">
        <v>345</v>
      </c>
      <c r="B176" t="s">
        <v>344</v>
      </c>
      <c r="C176" t="str">
        <f t="shared" si="6"/>
        <v>"URUGUA 4.975 04/20/55"</v>
      </c>
      <c r="D176" t="str">
        <f t="shared" si="7"/>
        <v>"US760942BD38"</v>
      </c>
      <c r="E176" t="str">
        <f t="shared" si="8"/>
        <v>"URUGUA 4.975 04/20/55": "US760942BD38"</v>
      </c>
    </row>
    <row r="177" spans="1:5" x14ac:dyDescent="0.3">
      <c r="A177" t="s">
        <v>347</v>
      </c>
      <c r="B177" t="s">
        <v>346</v>
      </c>
      <c r="C177" t="str">
        <f t="shared" si="6"/>
        <v>"MUBAUH 3.7 11/07/49"</v>
      </c>
      <c r="D177" t="str">
        <f t="shared" si="7"/>
        <v>"XS2075924048"</v>
      </c>
      <c r="E177" t="str">
        <f t="shared" si="8"/>
        <v>"MUBAUH 3.7 11/07/49": "XS2075924048"</v>
      </c>
    </row>
    <row r="178" spans="1:5" x14ac:dyDescent="0.3">
      <c r="A178" t="s">
        <v>15</v>
      </c>
      <c r="B178" t="s">
        <v>348</v>
      </c>
      <c r="C178" t="str">
        <f t="shared" si="6"/>
        <v>"REPHUN 5 3/8 09/26/30"</v>
      </c>
      <c r="D178" t="str">
        <f t="shared" si="7"/>
        <v>"US445545AV85"</v>
      </c>
      <c r="E178" t="str">
        <f t="shared" si="8"/>
        <v>"REPHUN 5 3/8 09/26/30": "US445545AV85"</v>
      </c>
    </row>
    <row r="179" spans="1:5" x14ac:dyDescent="0.3">
      <c r="A179" t="s">
        <v>350</v>
      </c>
      <c r="B179" t="s">
        <v>349</v>
      </c>
      <c r="C179" t="str">
        <f t="shared" si="6"/>
        <v>"VALEBZ 6 7/8 11/10/39"</v>
      </c>
      <c r="D179" t="str">
        <f t="shared" si="7"/>
        <v>"US91911TAK97"</v>
      </c>
      <c r="E179" t="str">
        <f t="shared" si="8"/>
        <v>"VALEBZ 6 7/8 11/10/39": "US91911TAK97"</v>
      </c>
    </row>
    <row r="180" spans="1:5" x14ac:dyDescent="0.3">
      <c r="A180" t="s">
        <v>352</v>
      </c>
      <c r="B180" t="s">
        <v>351</v>
      </c>
      <c r="C180" t="str">
        <f t="shared" si="6"/>
        <v>"PIFKSA 5 10/13/27"</v>
      </c>
      <c r="D180" t="str">
        <f t="shared" si="7"/>
        <v>"XS2542162321"</v>
      </c>
      <c r="E180" t="str">
        <f t="shared" si="8"/>
        <v>"PIFKSA 5 10/13/27": "XS2542162321"</v>
      </c>
    </row>
    <row r="181" spans="1:5" x14ac:dyDescent="0.3">
      <c r="A181" t="s">
        <v>354</v>
      </c>
      <c r="B181" t="s">
        <v>353</v>
      </c>
      <c r="C181" t="str">
        <f t="shared" si="6"/>
        <v>"QATAR 9 3/4 06/15/30"</v>
      </c>
      <c r="D181" t="str">
        <f t="shared" si="7"/>
        <v>"XS0113419690"</v>
      </c>
      <c r="E181" t="str">
        <f t="shared" si="8"/>
        <v>"QATAR 9 3/4 06/15/30": "XS0113419690"</v>
      </c>
    </row>
    <row r="182" spans="1:5" x14ac:dyDescent="0.3">
      <c r="A182" t="s">
        <v>356</v>
      </c>
      <c r="B182" t="s">
        <v>355</v>
      </c>
      <c r="C182" t="str">
        <f t="shared" si="6"/>
        <v>"URUGUA 4 3/8 10/27/27"</v>
      </c>
      <c r="D182" t="str">
        <f t="shared" si="7"/>
        <v>"US760942BB71"</v>
      </c>
      <c r="E182" t="str">
        <f t="shared" si="8"/>
        <v>"URUGUA 4 3/8 10/27/27": "US760942BB71"</v>
      </c>
    </row>
    <row r="183" spans="1:5" x14ac:dyDescent="0.3">
      <c r="A183" t="s">
        <v>358</v>
      </c>
      <c r="B183" t="s">
        <v>357</v>
      </c>
      <c r="C183" t="str">
        <f t="shared" si="6"/>
        <v>"MEX 5 05/07/29"</v>
      </c>
      <c r="D183" t="str">
        <f t="shared" si="7"/>
        <v>"US91087BAY65"</v>
      </c>
      <c r="E183" t="str">
        <f t="shared" si="8"/>
        <v>"MEX 5 05/07/29": "US91087BAY65"</v>
      </c>
    </row>
    <row r="184" spans="1:5" x14ac:dyDescent="0.3">
      <c r="A184" t="s">
        <v>360</v>
      </c>
      <c r="B184" t="s">
        <v>359</v>
      </c>
      <c r="C184" t="str">
        <f t="shared" si="6"/>
        <v>"CDEL 6.3 09/08/53"</v>
      </c>
      <c r="D184" t="str">
        <f t="shared" si="7"/>
        <v>"USP3143NBR46"</v>
      </c>
      <c r="E184" t="str">
        <f t="shared" si="8"/>
        <v>"CDEL 6.3 09/08/53": "USP3143NBR46"</v>
      </c>
    </row>
    <row r="185" spans="1:5" x14ac:dyDescent="0.3">
      <c r="A185" t="s">
        <v>362</v>
      </c>
      <c r="B185" t="s">
        <v>361</v>
      </c>
      <c r="C185" t="str">
        <f t="shared" si="6"/>
        <v>"CHILE 4 01/31/52"</v>
      </c>
      <c r="D185" t="str">
        <f t="shared" si="7"/>
        <v>"US168863DW59"</v>
      </c>
      <c r="E185" t="str">
        <f t="shared" si="8"/>
        <v>"CHILE 4 01/31/52": "US168863DW59"</v>
      </c>
    </row>
    <row r="186" spans="1:5" x14ac:dyDescent="0.3">
      <c r="A186" t="s">
        <v>364</v>
      </c>
      <c r="B186" t="s">
        <v>363</v>
      </c>
      <c r="C186" t="str">
        <f t="shared" si="6"/>
        <v>"KSA 3 1/4 10/22/30"</v>
      </c>
      <c r="D186" t="str">
        <f t="shared" si="7"/>
        <v>"XS2159975700"</v>
      </c>
      <c r="E186" t="str">
        <f t="shared" si="8"/>
        <v>"KSA 3 1/4 10/22/30": "XS2159975700"</v>
      </c>
    </row>
    <row r="187" spans="1:5" x14ac:dyDescent="0.3">
      <c r="A187" t="s">
        <v>366</v>
      </c>
      <c r="B187" t="s">
        <v>365</v>
      </c>
      <c r="C187" t="str">
        <f t="shared" si="6"/>
        <v>"MEX 4.15 03/28/27"</v>
      </c>
      <c r="D187" t="str">
        <f t="shared" si="7"/>
        <v>"US91087BAC46"</v>
      </c>
      <c r="E187" t="str">
        <f t="shared" si="8"/>
        <v>"MEX 4.15 03/28/27": "US91087BAC46"</v>
      </c>
    </row>
    <row r="188" spans="1:5" x14ac:dyDescent="0.3">
      <c r="A188" t="s">
        <v>368</v>
      </c>
      <c r="B188" t="s">
        <v>367</v>
      </c>
      <c r="C188" t="str">
        <f t="shared" si="6"/>
        <v>"ADQABU 5 05/06/35"</v>
      </c>
      <c r="D188" t="str">
        <f t="shared" si="7"/>
        <v>"XS3061312909"</v>
      </c>
      <c r="E188" t="str">
        <f t="shared" si="8"/>
        <v>"ADQABU 5 05/06/35": "XS3061312909"</v>
      </c>
    </row>
    <row r="189" spans="1:5" x14ac:dyDescent="0.3">
      <c r="A189" t="s">
        <v>370</v>
      </c>
      <c r="B189" t="s">
        <v>369</v>
      </c>
      <c r="C189" t="str">
        <f t="shared" si="6"/>
        <v>"ADGB 1 7/8 09/15/31"</v>
      </c>
      <c r="D189" t="str">
        <f t="shared" si="7"/>
        <v>"XS2386638733"</v>
      </c>
      <c r="E189" t="str">
        <f t="shared" si="8"/>
        <v>"ADGB 1 7/8 09/15/31": "XS2386638733"</v>
      </c>
    </row>
    <row r="190" spans="1:5" x14ac:dyDescent="0.3">
      <c r="A190" t="s">
        <v>372</v>
      </c>
      <c r="B190" t="s">
        <v>371</v>
      </c>
      <c r="C190" t="str">
        <f t="shared" si="6"/>
        <v>"UAE 4.917 09/25/33"</v>
      </c>
      <c r="D190" t="str">
        <f t="shared" si="7"/>
        <v>"XS2684502623"</v>
      </c>
      <c r="E190" t="str">
        <f t="shared" si="8"/>
        <v>"UAE 4.917 09/25/33": "XS2684502623"</v>
      </c>
    </row>
    <row r="191" spans="1:5" x14ac:dyDescent="0.3">
      <c r="A191" t="s">
        <v>374</v>
      </c>
      <c r="B191" t="s">
        <v>373</v>
      </c>
      <c r="C191" t="str">
        <f t="shared" si="6"/>
        <v>"MEX 4 1/2 04/22/29"</v>
      </c>
      <c r="D191" t="str">
        <f t="shared" si="7"/>
        <v>"US91087BAF76"</v>
      </c>
      <c r="E191" t="str">
        <f t="shared" si="8"/>
        <v>"MEX 4 1/2 04/22/29": "US91087BAF76"</v>
      </c>
    </row>
    <row r="192" spans="1:5" x14ac:dyDescent="0.3">
      <c r="A192" t="s">
        <v>376</v>
      </c>
      <c r="B192" t="s">
        <v>375</v>
      </c>
      <c r="C192" t="str">
        <f t="shared" si="6"/>
        <v>"CDEL 5 1/8 02/02/33"</v>
      </c>
      <c r="D192" t="str">
        <f t="shared" si="7"/>
        <v>"USP3143NBP89"</v>
      </c>
      <c r="E192" t="str">
        <f t="shared" si="8"/>
        <v>"CDEL 5 1/8 02/02/33": "USP3143NBP89"</v>
      </c>
    </row>
    <row r="193" spans="1:5" x14ac:dyDescent="0.3">
      <c r="A193" t="s">
        <v>378</v>
      </c>
      <c r="B193" t="s">
        <v>377</v>
      </c>
      <c r="C193" t="str">
        <f t="shared" si="6"/>
        <v>"TAQAUH 4.696 04/24/33"</v>
      </c>
      <c r="D193" t="str">
        <f t="shared" si="7"/>
        <v>"XS2600248335"</v>
      </c>
      <c r="E193" t="str">
        <f t="shared" si="8"/>
        <v>"TAQAUH 4.696 04/24/33": "XS2600248335"</v>
      </c>
    </row>
    <row r="194" spans="1:5" x14ac:dyDescent="0.3">
      <c r="A194" t="s">
        <v>380</v>
      </c>
      <c r="B194" t="s">
        <v>379</v>
      </c>
      <c r="C194" t="str">
        <f t="shared" ref="C194:C257" si="9">""""&amp;A194&amp;""""</f>
        <v>"ADGB 3 09/15/51"</v>
      </c>
      <c r="D194" t="str">
        <f t="shared" ref="D194:D257" si="10">""""&amp;B194&amp;""""</f>
        <v>"XS2386638816"</v>
      </c>
      <c r="E194" t="str">
        <f t="shared" ref="E194:E257" si="11">C194&amp;": "&amp;D194</f>
        <v>"ADGB 3 09/15/51": "XS2386638816"</v>
      </c>
    </row>
    <row r="195" spans="1:5" x14ac:dyDescent="0.3">
      <c r="A195" t="s">
        <v>382</v>
      </c>
      <c r="B195" t="s">
        <v>381</v>
      </c>
      <c r="C195" t="str">
        <f t="shared" si="9"/>
        <v>"PERU 6.55 03/14/37"</v>
      </c>
      <c r="D195" t="str">
        <f t="shared" si="10"/>
        <v>"US715638AU64"</v>
      </c>
      <c r="E195" t="str">
        <f t="shared" si="11"/>
        <v>"PERU 6.55 03/14/37": "US715638AU64"</v>
      </c>
    </row>
    <row r="196" spans="1:5" x14ac:dyDescent="0.3">
      <c r="A196" t="s">
        <v>384</v>
      </c>
      <c r="B196" t="s">
        <v>383</v>
      </c>
      <c r="C196" t="str">
        <f t="shared" si="9"/>
        <v>"CDEL 3 3/4 01/15/31"</v>
      </c>
      <c r="D196" t="str">
        <f t="shared" si="10"/>
        <v>"USP3143NBK92"</v>
      </c>
      <c r="E196" t="str">
        <f t="shared" si="11"/>
        <v>"CDEL 3 3/4 01/15/31": "USP3143NBK92"</v>
      </c>
    </row>
    <row r="197" spans="1:5" x14ac:dyDescent="0.3">
      <c r="A197" t="s">
        <v>386</v>
      </c>
      <c r="B197" t="s">
        <v>385</v>
      </c>
      <c r="C197" t="str">
        <f t="shared" si="9"/>
        <v>"ADGB 1 5/8 06/02/28"</v>
      </c>
      <c r="D197" t="str">
        <f t="shared" si="10"/>
        <v>"XS2348236980"</v>
      </c>
      <c r="E197" t="str">
        <f t="shared" si="11"/>
        <v>"ADGB 1 5/8 06/02/28": "XS2348236980"</v>
      </c>
    </row>
    <row r="198" spans="1:5" x14ac:dyDescent="0.3">
      <c r="A198" t="s">
        <v>388</v>
      </c>
      <c r="B198" t="s">
        <v>387</v>
      </c>
      <c r="C198" t="str">
        <f t="shared" si="9"/>
        <v>"CHILE 2 3/4 01/31/27"</v>
      </c>
      <c r="D198" t="str">
        <f t="shared" si="10"/>
        <v>"US168863DX33"</v>
      </c>
      <c r="E198" t="str">
        <f t="shared" si="11"/>
        <v>"CHILE 2 3/4 01/31/27": "US168863DX33"</v>
      </c>
    </row>
    <row r="199" spans="1:5" x14ac:dyDescent="0.3">
      <c r="A199" t="s">
        <v>390</v>
      </c>
      <c r="B199" t="s">
        <v>389</v>
      </c>
      <c r="C199" t="str">
        <f t="shared" si="9"/>
        <v>"MEX 3.771 05/24/61"</v>
      </c>
      <c r="D199" t="str">
        <f t="shared" si="10"/>
        <v>"US91087BAN01"</v>
      </c>
      <c r="E199" t="str">
        <f t="shared" si="11"/>
        <v>"MEX 3.771 05/24/61": "US91087BAN01"</v>
      </c>
    </row>
    <row r="200" spans="1:5" x14ac:dyDescent="0.3">
      <c r="A200" t="s">
        <v>392</v>
      </c>
      <c r="B200" t="s">
        <v>391</v>
      </c>
      <c r="C200" t="str">
        <f t="shared" si="9"/>
        <v>"MEX 8.3 08/15/31"</v>
      </c>
      <c r="D200" t="str">
        <f t="shared" si="10"/>
        <v>"US91086QAG38"</v>
      </c>
      <c r="E200" t="str">
        <f t="shared" si="11"/>
        <v>"MEX 8.3 08/15/31": "US91086QAG38"</v>
      </c>
    </row>
    <row r="201" spans="1:5" x14ac:dyDescent="0.3">
      <c r="A201" t="s">
        <v>394</v>
      </c>
      <c r="B201" t="s">
        <v>393</v>
      </c>
      <c r="C201" t="str">
        <f t="shared" si="9"/>
        <v>"MEX 4 3/4 04/27/32"</v>
      </c>
      <c r="D201" t="str">
        <f t="shared" si="10"/>
        <v>"US91087BAK61"</v>
      </c>
      <c r="E201" t="str">
        <f t="shared" si="11"/>
        <v>"MEX 4 3/4 04/27/32": "US91087BAK61"</v>
      </c>
    </row>
    <row r="202" spans="1:5" x14ac:dyDescent="0.3">
      <c r="A202" t="s">
        <v>396</v>
      </c>
      <c r="B202" t="s">
        <v>395</v>
      </c>
      <c r="C202" t="str">
        <f t="shared" si="9"/>
        <v>"QATAR 6.4 01/20/40"</v>
      </c>
      <c r="D202" t="str">
        <f t="shared" si="10"/>
        <v>"XS0468535637"</v>
      </c>
      <c r="E202" t="str">
        <f t="shared" si="11"/>
        <v>"QATAR 6.4 01/20/40": "XS0468535637"</v>
      </c>
    </row>
    <row r="203" spans="1:5" x14ac:dyDescent="0.3">
      <c r="A203" t="s">
        <v>398</v>
      </c>
      <c r="B203" t="s">
        <v>397</v>
      </c>
      <c r="C203" t="str">
        <f t="shared" si="9"/>
        <v>"AALLN 5 5/8 04/01/30"</v>
      </c>
      <c r="D203" t="str">
        <f t="shared" si="10"/>
        <v>"US034863AW07"</v>
      </c>
      <c r="E203" t="str">
        <f t="shared" si="11"/>
        <v>"AALLN 5 5/8 04/01/30": "US034863AW07"</v>
      </c>
    </row>
    <row r="204" spans="1:5" x14ac:dyDescent="0.3">
      <c r="A204" t="s">
        <v>400</v>
      </c>
      <c r="B204" t="s">
        <v>399</v>
      </c>
      <c r="C204" t="str">
        <f t="shared" si="9"/>
        <v>"UAE 4.951 07/07/52"</v>
      </c>
      <c r="D204" t="str">
        <f t="shared" si="10"/>
        <v>"XS2492385203"</v>
      </c>
      <c r="E204" t="str">
        <f t="shared" si="11"/>
        <v>"UAE 4.951 07/07/52": "XS2492385203"</v>
      </c>
    </row>
    <row r="205" spans="1:5" x14ac:dyDescent="0.3">
      <c r="A205" t="s">
        <v>402</v>
      </c>
      <c r="B205" t="s">
        <v>401</v>
      </c>
      <c r="C205" t="str">
        <f t="shared" si="9"/>
        <v>"ROMANI 3 5/8 03/27/32"</v>
      </c>
      <c r="D205" t="str">
        <f t="shared" si="10"/>
        <v>"XS2434896010"</v>
      </c>
      <c r="E205" t="str">
        <f t="shared" si="11"/>
        <v>"ROMANI 3 5/8 03/27/32": "XS2434896010"</v>
      </c>
    </row>
    <row r="206" spans="1:5" x14ac:dyDescent="0.3">
      <c r="A206" t="s">
        <v>404</v>
      </c>
      <c r="B206" t="s">
        <v>403</v>
      </c>
      <c r="C206" t="str">
        <f t="shared" si="9"/>
        <v>"PERU 8 3/4 11/21/33"</v>
      </c>
      <c r="D206" t="str">
        <f t="shared" si="10"/>
        <v>"US715638AP79"</v>
      </c>
      <c r="E206" t="str">
        <f t="shared" si="11"/>
        <v>"PERU 8 3/4 11/21/33": "US715638AP79"</v>
      </c>
    </row>
    <row r="207" spans="1:5" x14ac:dyDescent="0.3">
      <c r="A207" t="s">
        <v>406</v>
      </c>
      <c r="B207" t="s">
        <v>405</v>
      </c>
      <c r="C207" t="str">
        <f t="shared" si="9"/>
        <v>"MUBAUH 5 7/8 05/01/34"</v>
      </c>
      <c r="D207" t="str">
        <f t="shared" si="10"/>
        <v>"XS2707149600"</v>
      </c>
      <c r="E207" t="str">
        <f t="shared" si="11"/>
        <v>"MUBAUH 5 7/8 05/01/34": "XS2707149600"</v>
      </c>
    </row>
    <row r="208" spans="1:5" x14ac:dyDescent="0.3">
      <c r="A208" t="s">
        <v>408</v>
      </c>
      <c r="B208" t="s">
        <v>407</v>
      </c>
      <c r="C208" t="str">
        <f t="shared" si="9"/>
        <v>"AALLN 5 1/2 05/02/33"</v>
      </c>
      <c r="D208" t="str">
        <f t="shared" si="10"/>
        <v>"US034863BD17"</v>
      </c>
      <c r="E208" t="str">
        <f t="shared" si="11"/>
        <v>"AALLN 5 1/2 05/02/33": "US034863BD17"</v>
      </c>
    </row>
    <row r="209" spans="1:5" x14ac:dyDescent="0.3">
      <c r="A209" t="s">
        <v>410</v>
      </c>
      <c r="B209" t="s">
        <v>409</v>
      </c>
      <c r="C209" t="str">
        <f t="shared" si="9"/>
        <v>"AALLN 2 5/8 09/10/30"</v>
      </c>
      <c r="D209" t="str">
        <f t="shared" si="10"/>
        <v>"US034863AX89"</v>
      </c>
      <c r="E209" t="str">
        <f t="shared" si="11"/>
        <v>"AALLN 2 5/8 09/10/30": "US034863AX89"</v>
      </c>
    </row>
    <row r="210" spans="1:5" x14ac:dyDescent="0.3">
      <c r="A210" t="s">
        <v>412</v>
      </c>
      <c r="B210" t="s">
        <v>411</v>
      </c>
      <c r="C210" t="str">
        <f t="shared" si="9"/>
        <v>"MEX 4.28 08/14/41"</v>
      </c>
      <c r="D210" t="str">
        <f t="shared" si="10"/>
        <v>"US91087BAQ32"</v>
      </c>
      <c r="E210" t="str">
        <f t="shared" si="11"/>
        <v>"MEX 4.28 08/14/41": "US91087BAQ32"</v>
      </c>
    </row>
    <row r="211" spans="1:5" x14ac:dyDescent="0.3">
      <c r="A211" t="s">
        <v>414</v>
      </c>
      <c r="B211" t="s">
        <v>413</v>
      </c>
      <c r="C211" t="str">
        <f t="shared" si="9"/>
        <v>"CHILE 3 1/2 01/25/50"</v>
      </c>
      <c r="D211" t="str">
        <f t="shared" si="10"/>
        <v>"US168863DL94"</v>
      </c>
      <c r="E211" t="str">
        <f t="shared" si="11"/>
        <v>"CHILE 3 1/2 01/25/50": "US168863DL94"</v>
      </c>
    </row>
    <row r="212" spans="1:5" x14ac:dyDescent="0.3">
      <c r="A212" t="s">
        <v>416</v>
      </c>
      <c r="B212" t="s">
        <v>415</v>
      </c>
      <c r="C212" t="str">
        <f t="shared" si="9"/>
        <v>"MUBAUH 2 7/8 11/07/29"</v>
      </c>
      <c r="D212" t="str">
        <f t="shared" si="10"/>
        <v>"XS2075923313"</v>
      </c>
      <c r="E212" t="str">
        <f t="shared" si="11"/>
        <v>"MUBAUH 2 7/8 11/07/29": "XS2075923313"</v>
      </c>
    </row>
    <row r="213" spans="1:5" x14ac:dyDescent="0.3">
      <c r="A213" t="s">
        <v>398</v>
      </c>
      <c r="B213" t="s">
        <v>417</v>
      </c>
      <c r="C213" t="str">
        <f t="shared" si="9"/>
        <v>"AALLN 5 5/8 04/01/30"</v>
      </c>
      <c r="D213" t="str">
        <f t="shared" si="10"/>
        <v>"USG0446NAR55"</v>
      </c>
      <c r="E213" t="str">
        <f t="shared" si="11"/>
        <v>"AALLN 5 5/8 04/01/30": "USG0446NAR55"</v>
      </c>
    </row>
    <row r="214" spans="1:5" x14ac:dyDescent="0.3">
      <c r="A214" t="s">
        <v>419</v>
      </c>
      <c r="B214" t="s">
        <v>418</v>
      </c>
      <c r="C214" t="str">
        <f t="shared" si="9"/>
        <v>"BGOSK 6 1/4 10/31/28"</v>
      </c>
      <c r="D214" t="str">
        <f t="shared" si="10"/>
        <v>"XS2711511795"</v>
      </c>
      <c r="E214" t="str">
        <f t="shared" si="11"/>
        <v>"BGOSK 6 1/4 10/31/28": "XS2711511795"</v>
      </c>
    </row>
    <row r="215" spans="1:5" x14ac:dyDescent="0.3">
      <c r="A215" t="s">
        <v>421</v>
      </c>
      <c r="B215" t="s">
        <v>420</v>
      </c>
      <c r="C215" t="str">
        <f t="shared" si="9"/>
        <v>"KSA 4 3/4 01/18/28"</v>
      </c>
      <c r="D215" t="str">
        <f t="shared" si="10"/>
        <v>"XS2577134401"</v>
      </c>
      <c r="E215" t="str">
        <f t="shared" si="11"/>
        <v>"KSA 4 3/4 01/18/28": "XS2577134401"</v>
      </c>
    </row>
    <row r="216" spans="1:5" x14ac:dyDescent="0.3">
      <c r="A216" t="s">
        <v>423</v>
      </c>
      <c r="B216" t="s">
        <v>422</v>
      </c>
      <c r="C216" t="str">
        <f t="shared" si="9"/>
        <v>"URUGUA 7 5/8 03/21/36"</v>
      </c>
      <c r="D216" t="str">
        <f t="shared" si="10"/>
        <v>"US760942AS16"</v>
      </c>
      <c r="E216" t="str">
        <f t="shared" si="11"/>
        <v>"URUGUA 7 5/8 03/21/36": "US760942AS16"</v>
      </c>
    </row>
    <row r="217" spans="1:5" x14ac:dyDescent="0.3">
      <c r="A217" t="s">
        <v>425</v>
      </c>
      <c r="B217" t="s">
        <v>424</v>
      </c>
      <c r="C217" t="str">
        <f t="shared" si="9"/>
        <v>"MEX 3 3/4 01/11/28"</v>
      </c>
      <c r="D217" t="str">
        <f t="shared" si="10"/>
        <v>"US91087BAE02"</v>
      </c>
      <c r="E217" t="str">
        <f t="shared" si="11"/>
        <v>"MEX 3 3/4 01/11/28": "US91087BAE02"</v>
      </c>
    </row>
    <row r="218" spans="1:5" x14ac:dyDescent="0.3">
      <c r="A218" t="s">
        <v>35</v>
      </c>
      <c r="B218" t="s">
        <v>426</v>
      </c>
      <c r="C218" t="str">
        <f t="shared" si="9"/>
        <v>"ROMANI 5 3/4 09/16/30"</v>
      </c>
      <c r="D218" t="str">
        <f t="shared" si="10"/>
        <v>"US77586RAY62"</v>
      </c>
      <c r="E218" t="str">
        <f t="shared" si="11"/>
        <v>"ROMANI 5 3/4 09/16/30": "US77586RAY62"</v>
      </c>
    </row>
    <row r="219" spans="1:5" x14ac:dyDescent="0.3">
      <c r="A219" t="s">
        <v>428</v>
      </c>
      <c r="B219" t="s">
        <v>427</v>
      </c>
      <c r="C219" t="str">
        <f t="shared" si="9"/>
        <v>"CDEL 3 5/8 08/01/27"</v>
      </c>
      <c r="D219" t="str">
        <f t="shared" si="10"/>
        <v>"USP3143NAY06"</v>
      </c>
      <c r="E219" t="str">
        <f t="shared" si="11"/>
        <v>"CDEL 3 5/8 08/01/27": "USP3143NAY06"</v>
      </c>
    </row>
    <row r="220" spans="1:5" x14ac:dyDescent="0.3">
      <c r="A220" t="s">
        <v>430</v>
      </c>
      <c r="B220" t="s">
        <v>429</v>
      </c>
      <c r="C220" t="str">
        <f t="shared" si="9"/>
        <v>"KSA 3 1/4 11/17/51"</v>
      </c>
      <c r="D220" t="str">
        <f t="shared" si="10"/>
        <v>"XS2408613136"</v>
      </c>
      <c r="E220" t="str">
        <f t="shared" si="11"/>
        <v>"KSA 3 1/4 11/17/51": "XS2408613136"</v>
      </c>
    </row>
    <row r="221" spans="1:5" x14ac:dyDescent="0.3">
      <c r="A221" t="s">
        <v>432</v>
      </c>
      <c r="B221" t="s">
        <v>431</v>
      </c>
      <c r="C221" t="str">
        <f t="shared" si="9"/>
        <v>"CHILE 2.45 01/31/31"</v>
      </c>
      <c r="D221" t="str">
        <f t="shared" si="10"/>
        <v>"US168863DP09"</v>
      </c>
      <c r="E221" t="str">
        <f t="shared" si="11"/>
        <v>"CHILE 2.45 01/31/31": "US168863DP09"</v>
      </c>
    </row>
    <row r="222" spans="1:5" x14ac:dyDescent="0.3">
      <c r="A222" t="s">
        <v>434</v>
      </c>
      <c r="B222" t="s">
        <v>433</v>
      </c>
      <c r="C222" t="str">
        <f t="shared" si="9"/>
        <v>"CHILE 3.1 05/07/41"</v>
      </c>
      <c r="D222" t="str">
        <f t="shared" si="10"/>
        <v>"US168863DS48"</v>
      </c>
      <c r="E222" t="str">
        <f t="shared" si="11"/>
        <v>"CHILE 3.1 05/07/41": "US168863DS48"</v>
      </c>
    </row>
    <row r="223" spans="1:5" x14ac:dyDescent="0.3">
      <c r="A223" t="s">
        <v>408</v>
      </c>
      <c r="B223" t="s">
        <v>435</v>
      </c>
      <c r="C223" t="str">
        <f t="shared" si="9"/>
        <v>"AALLN 5 1/2 05/02/33"</v>
      </c>
      <c r="D223" t="str">
        <f t="shared" si="10"/>
        <v>"USG0446NAY07"</v>
      </c>
      <c r="E223" t="str">
        <f t="shared" si="11"/>
        <v>"AALLN 5 1/2 05/02/33": "USG0446NAY07"</v>
      </c>
    </row>
    <row r="224" spans="1:5" x14ac:dyDescent="0.3">
      <c r="A224" t="s">
        <v>437</v>
      </c>
      <c r="B224" t="s">
        <v>436</v>
      </c>
      <c r="C224" t="str">
        <f t="shared" si="9"/>
        <v>"MUBAUH 4 3/8 11/22/33"</v>
      </c>
      <c r="D224" t="str">
        <f t="shared" si="10"/>
        <v>"XS2624479288"</v>
      </c>
      <c r="E224" t="str">
        <f t="shared" si="11"/>
        <v>"MUBAUH 4 3/8 11/22/33": "XS2624479288"</v>
      </c>
    </row>
    <row r="225" spans="1:5" x14ac:dyDescent="0.3">
      <c r="A225" t="s">
        <v>439</v>
      </c>
      <c r="B225" t="s">
        <v>438</v>
      </c>
      <c r="C225" t="str">
        <f t="shared" si="9"/>
        <v>"UAE 2 7/8 10/19/41"</v>
      </c>
      <c r="D225" t="str">
        <f t="shared" si="10"/>
        <v>"XS2397083820"</v>
      </c>
      <c r="E225" t="str">
        <f t="shared" si="11"/>
        <v>"UAE 2 7/8 10/19/41": "XS2397083820"</v>
      </c>
    </row>
    <row r="226" spans="1:5" x14ac:dyDescent="0.3">
      <c r="A226" t="s">
        <v>441</v>
      </c>
      <c r="B226" t="s">
        <v>440</v>
      </c>
      <c r="C226" t="str">
        <f t="shared" si="9"/>
        <v>"QATAR 4 5/8 06/02/46"</v>
      </c>
      <c r="D226" t="str">
        <f t="shared" si="10"/>
        <v>"XS1405781854"</v>
      </c>
      <c r="E226" t="str">
        <f t="shared" si="11"/>
        <v>"QATAR 4 5/8 06/02/46": "XS1405781854"</v>
      </c>
    </row>
    <row r="227" spans="1:5" x14ac:dyDescent="0.3">
      <c r="A227" t="s">
        <v>443</v>
      </c>
      <c r="B227" t="s">
        <v>442</v>
      </c>
      <c r="C227" t="str">
        <f t="shared" si="9"/>
        <v>"MEX 4 1/2 01/31/50"</v>
      </c>
      <c r="D227" t="str">
        <f t="shared" si="10"/>
        <v>"US91087BAG59"</v>
      </c>
      <c r="E227" t="str">
        <f t="shared" si="11"/>
        <v>"MEX 4 1/2 01/31/50": "US91087BAG59"</v>
      </c>
    </row>
    <row r="228" spans="1:5" x14ac:dyDescent="0.3">
      <c r="A228" t="s">
        <v>141</v>
      </c>
      <c r="B228" t="s">
        <v>444</v>
      </c>
      <c r="C228" t="str">
        <f t="shared" si="9"/>
        <v>"SQM 5 1/2 09/10/34"</v>
      </c>
      <c r="D228" t="str">
        <f t="shared" si="10"/>
        <v>"US833636AP80"</v>
      </c>
      <c r="E228" t="str">
        <f t="shared" si="11"/>
        <v>"SQM 5 1/2 09/10/34": "US833636AP80"</v>
      </c>
    </row>
    <row r="229" spans="1:5" x14ac:dyDescent="0.3">
      <c r="A229" t="s">
        <v>446</v>
      </c>
      <c r="B229" t="s">
        <v>445</v>
      </c>
      <c r="C229" t="str">
        <f t="shared" si="9"/>
        <v>"MEX 5.4 02/09/28"</v>
      </c>
      <c r="D229" t="str">
        <f t="shared" si="10"/>
        <v>"US91087BAU44"</v>
      </c>
      <c r="E229" t="str">
        <f t="shared" si="11"/>
        <v>"MEX 5.4 02/09/28": "US91087BAU44"</v>
      </c>
    </row>
    <row r="230" spans="1:5" x14ac:dyDescent="0.3">
      <c r="A230" t="s">
        <v>448</v>
      </c>
      <c r="B230" t="s">
        <v>447</v>
      </c>
      <c r="C230" t="str">
        <f t="shared" si="9"/>
        <v>"UAE 2 10/19/31"</v>
      </c>
      <c r="D230" t="str">
        <f t="shared" si="10"/>
        <v>"XS2397053757"</v>
      </c>
      <c r="E230" t="str">
        <f t="shared" si="11"/>
        <v>"UAE 2 10/19/31": "XS2397053757"</v>
      </c>
    </row>
    <row r="231" spans="1:5" x14ac:dyDescent="0.3">
      <c r="A231" t="s">
        <v>450</v>
      </c>
      <c r="B231" t="s">
        <v>449</v>
      </c>
      <c r="C231" t="str">
        <f t="shared" si="9"/>
        <v>"CHILE 3 1/8 01/21/26"</v>
      </c>
      <c r="D231" t="str">
        <f t="shared" si="10"/>
        <v>"US168863CA49"</v>
      </c>
      <c r="E231" t="str">
        <f t="shared" si="11"/>
        <v>"CHILE 3 1/8 01/21/26": "US168863CA49"</v>
      </c>
    </row>
    <row r="232" spans="1:5" x14ac:dyDescent="0.3">
      <c r="A232" t="s">
        <v>452</v>
      </c>
      <c r="B232" t="s">
        <v>451</v>
      </c>
      <c r="C232" t="str">
        <f t="shared" si="9"/>
        <v>"KSA 5 1/2 10/25/32"</v>
      </c>
      <c r="D232" t="str">
        <f t="shared" si="10"/>
        <v>"XS2548892020"</v>
      </c>
      <c r="E232" t="str">
        <f t="shared" si="11"/>
        <v>"KSA 5 1/2 10/25/32": "XS2548892020"</v>
      </c>
    </row>
    <row r="233" spans="1:5" x14ac:dyDescent="0.3">
      <c r="A233" t="s">
        <v>454</v>
      </c>
      <c r="B233" t="s">
        <v>453</v>
      </c>
      <c r="C233" t="str">
        <f t="shared" si="9"/>
        <v>"TAQAUH 4 3/8 06/22/26"</v>
      </c>
      <c r="D233" t="str">
        <f t="shared" si="10"/>
        <v>"XS1435072464"</v>
      </c>
      <c r="E233" t="str">
        <f t="shared" si="11"/>
        <v>"TAQAUH 4 3/8 06/22/26": "XS1435072464"</v>
      </c>
    </row>
    <row r="234" spans="1:5" x14ac:dyDescent="0.3">
      <c r="A234" t="s">
        <v>456</v>
      </c>
      <c r="B234" t="s">
        <v>455</v>
      </c>
      <c r="C234" t="str">
        <f t="shared" si="9"/>
        <v>"ADNOCM 4 1/4 09/11/29"</v>
      </c>
      <c r="D234" t="str">
        <f t="shared" si="10"/>
        <v>"XS2898198358"</v>
      </c>
      <c r="E234" t="str">
        <f t="shared" si="11"/>
        <v>"ADNOCM 4 1/4 09/11/29": "XS2898198358"</v>
      </c>
    </row>
    <row r="235" spans="1:5" x14ac:dyDescent="0.3">
      <c r="A235" t="s">
        <v>458</v>
      </c>
      <c r="B235" t="s">
        <v>457</v>
      </c>
      <c r="C235" t="str">
        <f t="shared" si="9"/>
        <v>"CDEL 5.95 01/08/34"</v>
      </c>
      <c r="D235" t="str">
        <f t="shared" si="10"/>
        <v>"USP3143NBQ62"</v>
      </c>
      <c r="E235" t="str">
        <f t="shared" si="11"/>
        <v>"CDEL 5.95 01/08/34": "USP3143NBQ62"</v>
      </c>
    </row>
    <row r="236" spans="1:5" x14ac:dyDescent="0.3">
      <c r="A236" t="s">
        <v>460</v>
      </c>
      <c r="B236" t="s">
        <v>459</v>
      </c>
      <c r="C236" t="str">
        <f t="shared" si="9"/>
        <v>"CFELEC 6 1/8 06/16/45"</v>
      </c>
      <c r="D236" t="str">
        <f t="shared" si="10"/>
        <v>"USP30179AR95"</v>
      </c>
      <c r="E236" t="str">
        <f t="shared" si="11"/>
        <v>"CFELEC 6 1/8 06/16/45": "USP30179AR95"</v>
      </c>
    </row>
    <row r="237" spans="1:5" x14ac:dyDescent="0.3">
      <c r="A237" t="s">
        <v>462</v>
      </c>
      <c r="B237" t="s">
        <v>461</v>
      </c>
      <c r="C237" t="str">
        <f t="shared" si="9"/>
        <v>"URUGUA 7 7/8 01/15/33"</v>
      </c>
      <c r="D237" t="str">
        <f t="shared" si="10"/>
        <v>"US917288BA96"</v>
      </c>
      <c r="E237" t="str">
        <f t="shared" si="11"/>
        <v>"URUGUA 7 7/8 01/15/33": "US917288BA96"</v>
      </c>
    </row>
    <row r="238" spans="1:5" x14ac:dyDescent="0.3">
      <c r="A238" t="s">
        <v>33</v>
      </c>
      <c r="B238" t="s">
        <v>463</v>
      </c>
      <c r="C238" t="str">
        <f t="shared" si="9"/>
        <v>"ARAMCO 4 3/4 06/02/30"</v>
      </c>
      <c r="D238" t="str">
        <f t="shared" si="10"/>
        <v>"US80414L2X29"</v>
      </c>
      <c r="E238" t="str">
        <f t="shared" si="11"/>
        <v>"ARAMCO 4 3/4 06/02/30": "US80414L2X29"</v>
      </c>
    </row>
    <row r="239" spans="1:5" x14ac:dyDescent="0.3">
      <c r="A239" t="s">
        <v>23</v>
      </c>
      <c r="B239" t="s">
        <v>464</v>
      </c>
      <c r="C239" t="str">
        <f t="shared" si="9"/>
        <v>"ARAMCO 5 1/4 07/17/34"</v>
      </c>
      <c r="D239" t="str">
        <f t="shared" si="10"/>
        <v>"US80414L2N47"</v>
      </c>
      <c r="E239" t="str">
        <f t="shared" si="11"/>
        <v>"ARAMCO 5 1/4 07/17/34": "US80414L2N47"</v>
      </c>
    </row>
    <row r="240" spans="1:5" x14ac:dyDescent="0.3">
      <c r="A240" t="s">
        <v>466</v>
      </c>
      <c r="B240" t="s">
        <v>465</v>
      </c>
      <c r="C240" t="str">
        <f t="shared" si="9"/>
        <v>"AALLN 4 3/4 04/10/27"</v>
      </c>
      <c r="D240" t="str">
        <f t="shared" si="10"/>
        <v>"US034863AR12"</v>
      </c>
      <c r="E240" t="str">
        <f t="shared" si="11"/>
        <v>"AALLN 4 3/4 04/10/27": "US034863AR12"</v>
      </c>
    </row>
    <row r="241" spans="1:5" x14ac:dyDescent="0.3">
      <c r="A241" t="s">
        <v>468</v>
      </c>
      <c r="B241" t="s">
        <v>467</v>
      </c>
      <c r="C241" t="str">
        <f t="shared" si="9"/>
        <v>"MUBAUH 2 7/8 05/21/30"</v>
      </c>
      <c r="D241" t="str">
        <f t="shared" si="10"/>
        <v>"XS2176021223"</v>
      </c>
      <c r="E241" t="str">
        <f t="shared" si="11"/>
        <v>"MUBAUH 2 7/8 05/21/30": "XS2176021223"</v>
      </c>
    </row>
    <row r="242" spans="1:5" x14ac:dyDescent="0.3">
      <c r="A242" t="s">
        <v>470</v>
      </c>
      <c r="B242" t="s">
        <v>469</v>
      </c>
      <c r="C242" t="str">
        <f t="shared" si="9"/>
        <v>"CFELEC 5 3/4 02/14/42"</v>
      </c>
      <c r="D242" t="str">
        <f t="shared" si="10"/>
        <v>"USP30179AK43"</v>
      </c>
      <c r="E242" t="str">
        <f t="shared" si="11"/>
        <v>"CFELEC 5 3/4 02/14/42": "USP30179AK43"</v>
      </c>
    </row>
    <row r="243" spans="1:5" x14ac:dyDescent="0.3">
      <c r="A243" t="s">
        <v>472</v>
      </c>
      <c r="B243" t="s">
        <v>471</v>
      </c>
      <c r="C243" t="str">
        <f t="shared" si="9"/>
        <v>"ADGB 2 1/2 09/30/29"</v>
      </c>
      <c r="D243" t="str">
        <f t="shared" si="10"/>
        <v>"XS2057865979"</v>
      </c>
      <c r="E243" t="str">
        <f t="shared" si="11"/>
        <v>"ADGB 2 1/2 09/30/29": "XS2057865979"</v>
      </c>
    </row>
    <row r="244" spans="1:5" x14ac:dyDescent="0.3">
      <c r="A244" t="s">
        <v>474</v>
      </c>
      <c r="B244" t="s">
        <v>473</v>
      </c>
      <c r="C244" t="str">
        <f t="shared" si="9"/>
        <v>"PERU 1.862 12/01/32"</v>
      </c>
      <c r="D244" t="str">
        <f t="shared" si="10"/>
        <v>"US715638DP43"</v>
      </c>
      <c r="E244" t="str">
        <f t="shared" si="11"/>
        <v>"PERU 1.862 12/01/32": "US715638DP43"</v>
      </c>
    </row>
    <row r="245" spans="1:5" x14ac:dyDescent="0.3">
      <c r="A245" t="s">
        <v>103</v>
      </c>
      <c r="B245" t="s">
        <v>475</v>
      </c>
      <c r="C245" t="str">
        <f t="shared" si="9"/>
        <v>"CFELEC 3 7/8 07/26/33"</v>
      </c>
      <c r="D245" t="str">
        <f t="shared" si="10"/>
        <v>"US200447AK60"</v>
      </c>
      <c r="E245" t="str">
        <f t="shared" si="11"/>
        <v>"CFELEC 3 7/8 07/26/33": "US200447AK60"</v>
      </c>
    </row>
    <row r="246" spans="1:5" x14ac:dyDescent="0.3">
      <c r="A246" t="s">
        <v>477</v>
      </c>
      <c r="B246" t="s">
        <v>476</v>
      </c>
      <c r="C246" t="str">
        <f t="shared" si="9"/>
        <v>"QATAR 4 03/14/29"</v>
      </c>
      <c r="D246" t="str">
        <f t="shared" si="10"/>
        <v>"XS1959337582"</v>
      </c>
      <c r="E246" t="str">
        <f t="shared" si="11"/>
        <v>"QATAR 4 03/14/29": "XS1959337582"</v>
      </c>
    </row>
    <row r="247" spans="1:5" x14ac:dyDescent="0.3">
      <c r="A247" t="s">
        <v>479</v>
      </c>
      <c r="B247" t="s">
        <v>478</v>
      </c>
      <c r="C247" t="str">
        <f t="shared" si="9"/>
        <v>"CHILE 3.1 01/22/61"</v>
      </c>
      <c r="D247" t="str">
        <f t="shared" si="10"/>
        <v>"US168863DQ81"</v>
      </c>
      <c r="E247" t="str">
        <f t="shared" si="11"/>
        <v>"CHILE 3.1 01/22/61": "US168863DQ81"</v>
      </c>
    </row>
    <row r="248" spans="1:5" x14ac:dyDescent="0.3">
      <c r="A248" t="s">
        <v>481</v>
      </c>
      <c r="B248" t="s">
        <v>480</v>
      </c>
      <c r="C248" t="str">
        <f t="shared" si="9"/>
        <v>"MUBAUH 3.4 06/07/51"</v>
      </c>
      <c r="D248" t="str">
        <f t="shared" si="10"/>
        <v>"XS2324826994"</v>
      </c>
      <c r="E248" t="str">
        <f t="shared" si="11"/>
        <v>"MUBAUH 3.4 06/07/51": "XS2324826994"</v>
      </c>
    </row>
    <row r="249" spans="1:5" x14ac:dyDescent="0.3">
      <c r="A249" t="s">
        <v>483</v>
      </c>
      <c r="B249" t="s">
        <v>482</v>
      </c>
      <c r="C249" t="str">
        <f t="shared" si="9"/>
        <v>"CDEL 4 3/8 02/05/49"</v>
      </c>
      <c r="D249" t="str">
        <f t="shared" si="10"/>
        <v>"USP3143NBB93"</v>
      </c>
      <c r="E249" t="str">
        <f t="shared" si="11"/>
        <v>"CDEL 4 3/8 02/05/49": "USP3143NBB93"</v>
      </c>
    </row>
    <row r="250" spans="1:5" x14ac:dyDescent="0.3">
      <c r="A250" t="s">
        <v>485</v>
      </c>
      <c r="B250" t="s">
        <v>484</v>
      </c>
      <c r="C250" t="str">
        <f t="shared" si="9"/>
        <v>"MEX 7 1/2 04/08/33"</v>
      </c>
      <c r="D250" t="str">
        <f t="shared" si="10"/>
        <v>"US91086QAN88"</v>
      </c>
      <c r="E250" t="str">
        <f t="shared" si="11"/>
        <v>"MEX 7 1/2 04/08/33": "US91086QAN88"</v>
      </c>
    </row>
    <row r="251" spans="1:5" x14ac:dyDescent="0.3">
      <c r="A251" t="s">
        <v>487</v>
      </c>
      <c r="B251" t="s">
        <v>486</v>
      </c>
      <c r="C251" t="str">
        <f t="shared" si="9"/>
        <v>"QATAR 4 5/8 05/29/29"</v>
      </c>
      <c r="D251" t="str">
        <f t="shared" si="10"/>
        <v>"XS2822506759"</v>
      </c>
      <c r="E251" t="str">
        <f t="shared" si="11"/>
        <v>"QATAR 4 5/8 05/29/29": "XS2822506759"</v>
      </c>
    </row>
    <row r="252" spans="1:5" x14ac:dyDescent="0.3">
      <c r="A252" t="s">
        <v>489</v>
      </c>
      <c r="B252" t="s">
        <v>488</v>
      </c>
      <c r="C252" t="str">
        <f t="shared" si="9"/>
        <v>"TAQAUH 2 04/29/28"</v>
      </c>
      <c r="D252" t="str">
        <f t="shared" si="10"/>
        <v>"XS2333388184"</v>
      </c>
      <c r="E252" t="str">
        <f t="shared" si="11"/>
        <v>"TAQAUH 2 04/29/28": "XS2333388184"</v>
      </c>
    </row>
    <row r="253" spans="1:5" x14ac:dyDescent="0.3">
      <c r="A253" t="s">
        <v>491</v>
      </c>
      <c r="B253" t="s">
        <v>490</v>
      </c>
      <c r="C253" t="str">
        <f t="shared" si="9"/>
        <v>"KSA 2 1/2 02/03/27"</v>
      </c>
      <c r="D253" t="str">
        <f t="shared" si="10"/>
        <v>"XS2109766126"</v>
      </c>
      <c r="E253" t="str">
        <f t="shared" si="11"/>
        <v>"KSA 2 1/2 02/03/27": "XS2109766126"</v>
      </c>
    </row>
    <row r="254" spans="1:5" x14ac:dyDescent="0.3">
      <c r="A254" t="s">
        <v>493</v>
      </c>
      <c r="B254" t="s">
        <v>492</v>
      </c>
      <c r="C254" t="str">
        <f t="shared" si="9"/>
        <v>"QATAR 4 1/2 04/23/28"</v>
      </c>
      <c r="D254" t="str">
        <f t="shared" si="10"/>
        <v>"XS1807174393"</v>
      </c>
      <c r="E254" t="str">
        <f t="shared" si="11"/>
        <v>"QATAR 4 1/2 04/23/28": "XS1807174393"</v>
      </c>
    </row>
    <row r="255" spans="1:5" x14ac:dyDescent="0.3">
      <c r="A255" t="s">
        <v>495</v>
      </c>
      <c r="B255" t="s">
        <v>494</v>
      </c>
      <c r="C255" t="str">
        <f t="shared" si="9"/>
        <v>"PERU 3.55 03/10/51"</v>
      </c>
      <c r="D255" t="str">
        <f t="shared" si="10"/>
        <v>"US715638DT64"</v>
      </c>
      <c r="E255" t="str">
        <f t="shared" si="11"/>
        <v>"PERU 3.55 03/10/51": "US715638DT64"</v>
      </c>
    </row>
    <row r="256" spans="1:5" x14ac:dyDescent="0.3">
      <c r="A256" t="s">
        <v>497</v>
      </c>
      <c r="B256" t="s">
        <v>496</v>
      </c>
      <c r="C256" t="str">
        <f t="shared" si="9"/>
        <v>"TAQAUH 6 1/2 10/27/36"</v>
      </c>
      <c r="D256" t="str">
        <f t="shared" si="10"/>
        <v>"XS0272949016"</v>
      </c>
      <c r="E256" t="str">
        <f t="shared" si="11"/>
        <v>"TAQAUH 6 1/2 10/27/36": "XS0272949016"</v>
      </c>
    </row>
    <row r="257" spans="1:5" x14ac:dyDescent="0.3">
      <c r="A257" t="s">
        <v>499</v>
      </c>
      <c r="B257" t="s">
        <v>498</v>
      </c>
      <c r="C257" t="str">
        <f t="shared" si="9"/>
        <v>"PRXNA 4.85 07/06/27"</v>
      </c>
      <c r="D257" t="str">
        <f t="shared" si="10"/>
        <v>"USN5946FAD98"</v>
      </c>
      <c r="E257" t="str">
        <f t="shared" si="11"/>
        <v>"PRXNA 4.85 07/06/27": "USN5946FAD98"</v>
      </c>
    </row>
    <row r="258" spans="1:5" x14ac:dyDescent="0.3">
      <c r="A258" t="s">
        <v>501</v>
      </c>
      <c r="B258" t="s">
        <v>500</v>
      </c>
      <c r="C258" t="str">
        <f t="shared" ref="C258:C321" si="12">""""&amp;A258&amp;""""</f>
        <v>"BIMBOA 4 09/06/49"</v>
      </c>
      <c r="D258" t="str">
        <f t="shared" ref="D258:D321" si="13">""""&amp;B258&amp;""""</f>
        <v>"US40052VAG95"</v>
      </c>
      <c r="E258" t="str">
        <f t="shared" ref="E258:E321" si="14">C258&amp;": "&amp;D258</f>
        <v>"BIMBOA 4 09/06/49": "US40052VAG95"</v>
      </c>
    </row>
    <row r="259" spans="1:5" x14ac:dyDescent="0.3">
      <c r="A259" t="s">
        <v>1</v>
      </c>
      <c r="B259" t="s">
        <v>502</v>
      </c>
      <c r="C259" t="str">
        <f t="shared" si="12"/>
        <v>"CFELEC 6.45 01/24/35"</v>
      </c>
      <c r="D259" t="str">
        <f t="shared" si="13"/>
        <v>"US200447AP57"</v>
      </c>
      <c r="E259" t="str">
        <f t="shared" si="14"/>
        <v>"CFELEC 6.45 01/24/35": "US200447AP57"</v>
      </c>
    </row>
    <row r="260" spans="1:5" x14ac:dyDescent="0.3">
      <c r="A260" t="s">
        <v>301</v>
      </c>
      <c r="B260" t="s">
        <v>503</v>
      </c>
      <c r="C260" t="str">
        <f t="shared" si="12"/>
        <v>"AALLN 5 3/4 04/05/34"</v>
      </c>
      <c r="D260" t="str">
        <f t="shared" si="13"/>
        <v>"USG0446NAZ71"</v>
      </c>
      <c r="E260" t="str">
        <f t="shared" si="14"/>
        <v>"AALLN 5 3/4 04/05/34": "USG0446NAZ71"</v>
      </c>
    </row>
    <row r="261" spans="1:5" x14ac:dyDescent="0.3">
      <c r="A261" t="s">
        <v>505</v>
      </c>
      <c r="B261" t="s">
        <v>504</v>
      </c>
      <c r="C261" t="str">
        <f t="shared" si="12"/>
        <v>"CHILE 3.86 06/21/47"</v>
      </c>
      <c r="D261" t="str">
        <f t="shared" si="13"/>
        <v>"US168863CE60"</v>
      </c>
      <c r="E261" t="str">
        <f t="shared" si="14"/>
        <v>"CHILE 3.86 06/21/47": "US168863CE60"</v>
      </c>
    </row>
    <row r="262" spans="1:5" x14ac:dyDescent="0.3">
      <c r="A262" t="s">
        <v>507</v>
      </c>
      <c r="B262" t="s">
        <v>506</v>
      </c>
      <c r="C262" t="str">
        <f t="shared" si="12"/>
        <v>"UAE 4.05 07/07/32"</v>
      </c>
      <c r="D262" t="str">
        <f t="shared" si="13"/>
        <v>"XS2492384818"</v>
      </c>
      <c r="E262" t="str">
        <f t="shared" si="14"/>
        <v>"UAE 4.05 07/07/32": "XS2492384818"</v>
      </c>
    </row>
    <row r="263" spans="1:5" x14ac:dyDescent="0.3">
      <c r="A263" t="s">
        <v>509</v>
      </c>
      <c r="B263" t="s">
        <v>508</v>
      </c>
      <c r="C263" t="str">
        <f t="shared" si="12"/>
        <v>"QATAR 4 1/2 02/27/28"</v>
      </c>
      <c r="D263" t="str">
        <f t="shared" si="13"/>
        <v>"XS2918565271"</v>
      </c>
      <c r="E263" t="str">
        <f t="shared" si="14"/>
        <v>"QATAR 4 1/2 02/27/28": "XS2918565271"</v>
      </c>
    </row>
    <row r="264" spans="1:5" x14ac:dyDescent="0.3">
      <c r="A264" t="s">
        <v>511</v>
      </c>
      <c r="B264" t="s">
        <v>510</v>
      </c>
      <c r="C264" t="str">
        <f t="shared" si="12"/>
        <v>"PERU 3.23 07/28/2121"</v>
      </c>
      <c r="D264" t="str">
        <f t="shared" si="13"/>
        <v>"US715638DR09"</v>
      </c>
      <c r="E264" t="str">
        <f t="shared" si="14"/>
        <v>"PERU 3.23 07/28/2121": "US715638DR09"</v>
      </c>
    </row>
    <row r="265" spans="1:5" x14ac:dyDescent="0.3">
      <c r="A265" t="s">
        <v>513</v>
      </c>
      <c r="B265" t="s">
        <v>512</v>
      </c>
      <c r="C265" t="str">
        <f t="shared" si="12"/>
        <v>"MEX 3 3/4 04/19/2071"</v>
      </c>
      <c r="D265" t="str">
        <f t="shared" si="13"/>
        <v>"XS2280637039"</v>
      </c>
      <c r="E265" t="str">
        <f t="shared" si="14"/>
        <v>"MEX 3 3/4 04/19/2071": "XS2280637039"</v>
      </c>
    </row>
    <row r="266" spans="1:5" x14ac:dyDescent="0.3">
      <c r="A266" t="s">
        <v>515</v>
      </c>
      <c r="B266" t="s">
        <v>514</v>
      </c>
      <c r="C266" t="str">
        <f t="shared" si="12"/>
        <v>"CFELEC 4.677 02/09/51"</v>
      </c>
      <c r="D266" t="str">
        <f t="shared" si="13"/>
        <v>"USP29595AE80"</v>
      </c>
      <c r="E266" t="str">
        <f t="shared" si="14"/>
        <v>"CFELEC 4.677 02/09/51": "USP29595AE80"</v>
      </c>
    </row>
    <row r="267" spans="1:5" x14ac:dyDescent="0.3">
      <c r="A267" t="s">
        <v>517</v>
      </c>
      <c r="B267" t="s">
        <v>516</v>
      </c>
      <c r="C267" t="str">
        <f t="shared" si="12"/>
        <v>"CDEL 3 09/30/29"</v>
      </c>
      <c r="D267" t="str">
        <f t="shared" si="13"/>
        <v>"USP3143NBE33"</v>
      </c>
      <c r="E267" t="str">
        <f t="shared" si="14"/>
        <v>"CDEL 3 09/30/29": "USP3143NBE33"</v>
      </c>
    </row>
    <row r="268" spans="1:5" x14ac:dyDescent="0.3">
      <c r="A268" t="s">
        <v>519</v>
      </c>
      <c r="B268" t="s">
        <v>518</v>
      </c>
      <c r="C268" t="str">
        <f t="shared" si="12"/>
        <v>"MEX 5 04/27/51"</v>
      </c>
      <c r="D268" t="str">
        <f t="shared" si="13"/>
        <v>"US91087BAL45"</v>
      </c>
      <c r="E268" t="str">
        <f t="shared" si="14"/>
        <v>"MEX 5 04/27/51": "US91087BAL45"</v>
      </c>
    </row>
    <row r="269" spans="1:5" x14ac:dyDescent="0.3">
      <c r="A269" t="s">
        <v>13</v>
      </c>
      <c r="B269" t="s">
        <v>520</v>
      </c>
      <c r="C269" t="str">
        <f t="shared" si="12"/>
        <v>"ARAMCO 5 3/8 06/02/35"</v>
      </c>
      <c r="D269" t="str">
        <f t="shared" si="13"/>
        <v>"US80414L3B99"</v>
      </c>
      <c r="E269" t="str">
        <f t="shared" si="14"/>
        <v>"ARAMCO 5 3/8 06/02/35": "US80414L3B99"</v>
      </c>
    </row>
    <row r="270" spans="1:5" x14ac:dyDescent="0.3">
      <c r="A270" t="s">
        <v>522</v>
      </c>
      <c r="B270" t="s">
        <v>521</v>
      </c>
      <c r="C270" t="str">
        <f t="shared" si="12"/>
        <v>"MUBAUH 6 7/8 11/01/41"</v>
      </c>
      <c r="D270" t="str">
        <f t="shared" si="13"/>
        <v>"XS0701227075"</v>
      </c>
      <c r="E270" t="str">
        <f t="shared" si="14"/>
        <v>"MUBAUH 6 7/8 11/01/41": "XS0701227075"</v>
      </c>
    </row>
    <row r="271" spans="1:5" x14ac:dyDescent="0.3">
      <c r="A271" t="s">
        <v>524</v>
      </c>
      <c r="B271" t="s">
        <v>523</v>
      </c>
      <c r="C271" t="str">
        <f t="shared" si="12"/>
        <v>"CDEL 3.7 01/30/50"</v>
      </c>
      <c r="D271" t="str">
        <f t="shared" si="13"/>
        <v>"USP3143NBF08"</v>
      </c>
      <c r="E271" t="str">
        <f t="shared" si="14"/>
        <v>"CDEL 3.7 01/30/50": "USP3143NBF08"</v>
      </c>
    </row>
    <row r="272" spans="1:5" x14ac:dyDescent="0.3">
      <c r="A272" t="s">
        <v>526</v>
      </c>
      <c r="B272" t="s">
        <v>525</v>
      </c>
      <c r="C272" t="str">
        <f t="shared" si="12"/>
        <v>"CHILE 3 1/2 04/15/53"</v>
      </c>
      <c r="D272" t="str">
        <f t="shared" si="13"/>
        <v>"XS2327851874"</v>
      </c>
      <c r="E272" t="str">
        <f t="shared" si="14"/>
        <v>"CHILE 3 1/2 04/15/53": "XS2327851874"</v>
      </c>
    </row>
    <row r="273" spans="1:5" x14ac:dyDescent="0.3">
      <c r="A273" t="s">
        <v>528</v>
      </c>
      <c r="B273" t="s">
        <v>527</v>
      </c>
      <c r="C273" t="str">
        <f t="shared" si="12"/>
        <v>"TAQAUH 3.4 04/29/51"</v>
      </c>
      <c r="D273" t="str">
        <f t="shared" si="13"/>
        <v>"XS2333388937"</v>
      </c>
      <c r="E273" t="str">
        <f t="shared" si="14"/>
        <v>"TAQAUH 3.4 04/29/51": "XS2333388937"</v>
      </c>
    </row>
    <row r="274" spans="1:5" x14ac:dyDescent="0.3">
      <c r="A274" t="s">
        <v>530</v>
      </c>
      <c r="B274" t="s">
        <v>529</v>
      </c>
      <c r="C274" t="str">
        <f t="shared" si="12"/>
        <v>"UAE 3 1/4 10/19/61"</v>
      </c>
      <c r="D274" t="str">
        <f t="shared" si="13"/>
        <v>"XS2397055703"</v>
      </c>
      <c r="E274" t="str">
        <f t="shared" si="14"/>
        <v>"UAE 3 1/4 10/19/61": "XS2397055703"</v>
      </c>
    </row>
    <row r="275" spans="1:5" x14ac:dyDescent="0.3">
      <c r="A275" t="s">
        <v>532</v>
      </c>
      <c r="B275" t="s">
        <v>531</v>
      </c>
      <c r="C275" t="str">
        <f t="shared" si="12"/>
        <v>"CHILE 4.34 03/07/42"</v>
      </c>
      <c r="D275" t="str">
        <f t="shared" si="13"/>
        <v>"US168863DY16"</v>
      </c>
      <c r="E275" t="str">
        <f t="shared" si="14"/>
        <v>"CHILE 4.34 03/07/42": "US168863DY16"</v>
      </c>
    </row>
    <row r="276" spans="1:5" x14ac:dyDescent="0.3">
      <c r="A276" t="s">
        <v>534</v>
      </c>
      <c r="B276" t="s">
        <v>533</v>
      </c>
      <c r="C276" t="str">
        <f t="shared" si="12"/>
        <v>"PERU 3.3 03/11/41"</v>
      </c>
      <c r="D276" t="str">
        <f t="shared" si="13"/>
        <v>"US715638DS81"</v>
      </c>
      <c r="E276" t="str">
        <f t="shared" si="14"/>
        <v>"PERU 3.3 03/11/41": "US715638DS81"</v>
      </c>
    </row>
    <row r="277" spans="1:5" x14ac:dyDescent="0.3">
      <c r="A277" t="s">
        <v>536</v>
      </c>
      <c r="B277" t="s">
        <v>535</v>
      </c>
      <c r="C277" t="str">
        <f t="shared" si="12"/>
        <v>"QATAR 5 3/4 01/20/42"</v>
      </c>
      <c r="D277" t="str">
        <f t="shared" si="13"/>
        <v>"XS0615236188"</v>
      </c>
      <c r="E277" t="str">
        <f t="shared" si="14"/>
        <v>"QATAR 5 3/4 01/20/42": "XS0615236188"</v>
      </c>
    </row>
    <row r="278" spans="1:5" x14ac:dyDescent="0.3">
      <c r="A278" t="s">
        <v>466</v>
      </c>
      <c r="B278" t="s">
        <v>537</v>
      </c>
      <c r="C278" t="str">
        <f t="shared" si="12"/>
        <v>"AALLN 4 3/4 04/10/27"</v>
      </c>
      <c r="D278" t="str">
        <f t="shared" si="13"/>
        <v>"USG0446NAL85"</v>
      </c>
      <c r="E278" t="str">
        <f t="shared" si="14"/>
        <v>"AALLN 4 3/4 04/10/27": "USG0446NAL85"</v>
      </c>
    </row>
    <row r="279" spans="1:5" x14ac:dyDescent="0.3">
      <c r="A279" t="s">
        <v>539</v>
      </c>
      <c r="B279" t="s">
        <v>538</v>
      </c>
      <c r="C279" t="str">
        <f t="shared" si="12"/>
        <v>"MEX 4.6 01/23/46"</v>
      </c>
      <c r="D279" t="str">
        <f t="shared" si="13"/>
        <v>"US91086QBF46"</v>
      </c>
      <c r="E279" t="str">
        <f t="shared" si="14"/>
        <v>"MEX 4.6 01/23/46": "US91086QBF46"</v>
      </c>
    </row>
    <row r="280" spans="1:5" x14ac:dyDescent="0.3">
      <c r="A280" t="s">
        <v>541</v>
      </c>
      <c r="B280" t="s">
        <v>540</v>
      </c>
      <c r="C280" t="str">
        <f t="shared" si="12"/>
        <v>"TAQAUH 4 3/4 03/09/37"</v>
      </c>
      <c r="D280" t="str">
        <f t="shared" si="13"/>
        <v>"US00388WAP68"</v>
      </c>
      <c r="E280" t="str">
        <f t="shared" si="14"/>
        <v>"TAQAUH 4 3/4 03/09/37": "US00388WAP68"</v>
      </c>
    </row>
    <row r="281" spans="1:5" x14ac:dyDescent="0.3">
      <c r="A281" t="s">
        <v>222</v>
      </c>
      <c r="B281" t="s">
        <v>542</v>
      </c>
      <c r="C281" t="str">
        <f t="shared" si="12"/>
        <v>"BGOSK 6 1/4 07/09/54"</v>
      </c>
      <c r="D281" t="str">
        <f t="shared" si="13"/>
        <v>"US06237MAD56"</v>
      </c>
      <c r="E281" t="str">
        <f t="shared" si="14"/>
        <v>"BGOSK 6 1/4 07/09/54": "US06237MAD56"</v>
      </c>
    </row>
    <row r="282" spans="1:5" x14ac:dyDescent="0.3">
      <c r="A282" t="s">
        <v>544</v>
      </c>
      <c r="B282" t="s">
        <v>543</v>
      </c>
      <c r="C282" t="str">
        <f t="shared" si="12"/>
        <v>"CDEL 3.15 01/14/30"</v>
      </c>
      <c r="D282" t="str">
        <f t="shared" si="13"/>
        <v>"USP3143NBH63"</v>
      </c>
      <c r="E282" t="str">
        <f t="shared" si="14"/>
        <v>"CDEL 3.15 01/14/30": "USP3143NBH63"</v>
      </c>
    </row>
    <row r="283" spans="1:5" x14ac:dyDescent="0.3">
      <c r="A283" t="s">
        <v>546</v>
      </c>
      <c r="B283" t="s">
        <v>545</v>
      </c>
      <c r="C283" t="str">
        <f t="shared" si="12"/>
        <v>"CDEL 5 5/8 10/18/43"</v>
      </c>
      <c r="D283" t="str">
        <f t="shared" si="13"/>
        <v>"USP3143NAS38"</v>
      </c>
      <c r="E283" t="str">
        <f t="shared" si="14"/>
        <v>"CDEL 5 5/8 10/18/43": "USP3143NAS38"</v>
      </c>
    </row>
    <row r="284" spans="1:5" x14ac:dyDescent="0.3">
      <c r="A284" t="s">
        <v>548</v>
      </c>
      <c r="B284" t="s">
        <v>547</v>
      </c>
      <c r="C284" t="str">
        <f t="shared" si="12"/>
        <v>"MEX 4.35 01/15/47"</v>
      </c>
      <c r="D284" t="str">
        <f t="shared" si="13"/>
        <v>"US91087BAB62"</v>
      </c>
      <c r="E284" t="str">
        <f t="shared" si="14"/>
        <v>"MEX 4.35 01/15/47": "US91087BAB62"</v>
      </c>
    </row>
    <row r="285" spans="1:5" x14ac:dyDescent="0.3">
      <c r="A285" t="s">
        <v>550</v>
      </c>
      <c r="B285" t="s">
        <v>549</v>
      </c>
      <c r="C285" t="str">
        <f t="shared" si="12"/>
        <v>"AALLN 4 3/4 03/16/52"</v>
      </c>
      <c r="D285" t="str">
        <f t="shared" si="13"/>
        <v>"US034863BC34"</v>
      </c>
      <c r="E285" t="str">
        <f t="shared" si="14"/>
        <v>"AALLN 4 3/4 03/16/52": "US034863BC34"</v>
      </c>
    </row>
    <row r="286" spans="1:5" x14ac:dyDescent="0.3">
      <c r="A286" t="s">
        <v>172</v>
      </c>
      <c r="B286" t="s">
        <v>551</v>
      </c>
      <c r="C286" t="str">
        <f t="shared" si="12"/>
        <v>"REPHUN 6 1/8 05/22/28"</v>
      </c>
      <c r="D286" t="str">
        <f t="shared" si="13"/>
        <v>"US445545AR73"</v>
      </c>
      <c r="E286" t="str">
        <f t="shared" si="14"/>
        <v>"REPHUN 6 1/8 05/22/28": "US445545AR73"</v>
      </c>
    </row>
    <row r="287" spans="1:5" x14ac:dyDescent="0.3">
      <c r="A287" t="s">
        <v>553</v>
      </c>
      <c r="B287" t="s">
        <v>552</v>
      </c>
      <c r="C287" t="str">
        <f t="shared" si="12"/>
        <v>"PIFKSA 5 1/4 10/13/32"</v>
      </c>
      <c r="D287" t="str">
        <f t="shared" si="13"/>
        <v>"XS2542162248"</v>
      </c>
      <c r="E287" t="str">
        <f t="shared" si="14"/>
        <v>"PIFKSA 5 1/4 10/13/32": "XS2542162248"</v>
      </c>
    </row>
    <row r="288" spans="1:5" x14ac:dyDescent="0.3">
      <c r="A288" t="s">
        <v>555</v>
      </c>
      <c r="B288" t="s">
        <v>554</v>
      </c>
      <c r="C288" t="str">
        <f t="shared" si="12"/>
        <v>"CHILE 3 1/4 09/21/2071"</v>
      </c>
      <c r="D288" t="str">
        <f t="shared" si="13"/>
        <v>"US168863DU93"</v>
      </c>
      <c r="E288" t="str">
        <f t="shared" si="14"/>
        <v>"CHILE 3 1/4 09/21/2071": "US168863DU93"</v>
      </c>
    </row>
    <row r="289" spans="1:5" x14ac:dyDescent="0.3">
      <c r="A289" t="s">
        <v>557</v>
      </c>
      <c r="B289" t="s">
        <v>556</v>
      </c>
      <c r="C289" t="str">
        <f t="shared" si="12"/>
        <v>"KSA 2 3/4 02/03/32"</v>
      </c>
      <c r="D289" t="str">
        <f t="shared" si="13"/>
        <v>"XS2109766472"</v>
      </c>
      <c r="E289" t="str">
        <f t="shared" si="14"/>
        <v>"KSA 2 3/4 02/03/32": "XS2109766472"</v>
      </c>
    </row>
    <row r="290" spans="1:5" x14ac:dyDescent="0.3">
      <c r="A290" t="s">
        <v>559</v>
      </c>
      <c r="B290" t="s">
        <v>558</v>
      </c>
      <c r="C290" t="str">
        <f t="shared" si="12"/>
        <v>"TAQAUH 4 7/8 04/23/30"</v>
      </c>
      <c r="D290" t="str">
        <f t="shared" si="13"/>
        <v>"XS1808738212"</v>
      </c>
      <c r="E290" t="str">
        <f t="shared" si="14"/>
        <v>"TAQAUH 4 7/8 04/23/30": "XS1808738212"</v>
      </c>
    </row>
    <row r="291" spans="1:5" x14ac:dyDescent="0.3">
      <c r="A291" t="s">
        <v>561</v>
      </c>
      <c r="B291" t="s">
        <v>560</v>
      </c>
      <c r="C291" t="str">
        <f t="shared" si="12"/>
        <v>"MUBAUH 2 1/2 05/21/26"</v>
      </c>
      <c r="D291" t="str">
        <f t="shared" si="13"/>
        <v>"XS2176018609"</v>
      </c>
      <c r="E291" t="str">
        <f t="shared" si="14"/>
        <v>"MUBAUH 2 1/2 05/21/26": "XS2176018609"</v>
      </c>
    </row>
    <row r="292" spans="1:5" x14ac:dyDescent="0.3">
      <c r="A292" t="s">
        <v>145</v>
      </c>
      <c r="B292" t="s">
        <v>562</v>
      </c>
      <c r="C292" t="str">
        <f t="shared" si="12"/>
        <v>"CFELEC 4.688 05/15/29"</v>
      </c>
      <c r="D292" t="str">
        <f t="shared" si="13"/>
        <v>"US200447AL44"</v>
      </c>
      <c r="E292" t="str">
        <f t="shared" si="14"/>
        <v>"CFELEC 4.688 05/15/29": "US200447AL44"</v>
      </c>
    </row>
    <row r="293" spans="1:5" x14ac:dyDescent="0.3">
      <c r="A293" t="s">
        <v>564</v>
      </c>
      <c r="B293" t="s">
        <v>563</v>
      </c>
      <c r="C293" t="str">
        <f t="shared" si="12"/>
        <v>"MUBAUH 5 1/2 04/28/33"</v>
      </c>
      <c r="D293" t="str">
        <f t="shared" si="13"/>
        <v>"XS2546781985"</v>
      </c>
      <c r="E293" t="str">
        <f t="shared" si="14"/>
        <v>"MUBAUH 5 1/2 04/28/33": "XS2546781985"</v>
      </c>
    </row>
    <row r="294" spans="1:5" x14ac:dyDescent="0.3">
      <c r="A294" t="s">
        <v>566</v>
      </c>
      <c r="B294" t="s">
        <v>565</v>
      </c>
      <c r="C294" t="str">
        <f t="shared" si="12"/>
        <v>"ADQABU 4 3/8 10/02/31"</v>
      </c>
      <c r="D294" t="str">
        <f t="shared" si="13"/>
        <v>"XS2907161363"</v>
      </c>
      <c r="E294" t="str">
        <f t="shared" si="14"/>
        <v>"ADQABU 4 3/8 10/02/31": "XS2907161363"</v>
      </c>
    </row>
    <row r="295" spans="1:5" x14ac:dyDescent="0.3">
      <c r="A295" t="s">
        <v>117</v>
      </c>
      <c r="B295" t="s">
        <v>567</v>
      </c>
      <c r="C295" t="str">
        <f t="shared" si="12"/>
        <v>"ADNOCM 5 1/8 09/11/54"</v>
      </c>
      <c r="D295" t="str">
        <f t="shared" si="13"/>
        <v>"US00723L2C25"</v>
      </c>
      <c r="E295" t="str">
        <f t="shared" si="14"/>
        <v>"ADNOCM 5 1/8 09/11/54": "US00723L2C25"</v>
      </c>
    </row>
    <row r="296" spans="1:5" x14ac:dyDescent="0.3">
      <c r="A296" t="s">
        <v>569</v>
      </c>
      <c r="B296" t="s">
        <v>568</v>
      </c>
      <c r="C296" t="str">
        <f t="shared" si="12"/>
        <v>"BIMBOA 4.7 11/10/47"</v>
      </c>
      <c r="D296" t="str">
        <f t="shared" si="13"/>
        <v>"USP4R52QAC92"</v>
      </c>
      <c r="E296" t="str">
        <f t="shared" si="14"/>
        <v>"BIMBOA 4.7 11/10/47": "USP4R52QAC92"</v>
      </c>
    </row>
    <row r="297" spans="1:5" x14ac:dyDescent="0.3">
      <c r="A297" t="s">
        <v>541</v>
      </c>
      <c r="B297" t="s">
        <v>570</v>
      </c>
      <c r="C297" t="str">
        <f t="shared" si="12"/>
        <v>"TAQAUH 4 3/4 03/09/37"</v>
      </c>
      <c r="D297" t="str">
        <f t="shared" si="13"/>
        <v>"XS2911046147"</v>
      </c>
      <c r="E297" t="str">
        <f t="shared" si="14"/>
        <v>"TAQAUH 4 3/4 03/09/37": "XS2911046147"</v>
      </c>
    </row>
    <row r="298" spans="1:5" x14ac:dyDescent="0.3">
      <c r="A298" t="s">
        <v>572</v>
      </c>
      <c r="B298" t="s">
        <v>571</v>
      </c>
      <c r="C298" t="str">
        <f t="shared" si="12"/>
        <v>"MUBAUH 3.95 05/21/50"</v>
      </c>
      <c r="D298" t="str">
        <f t="shared" si="13"/>
        <v>"XS2175968580"</v>
      </c>
      <c r="E298" t="str">
        <f t="shared" si="14"/>
        <v>"MUBAUH 3.95 05/21/50": "XS2175968580"</v>
      </c>
    </row>
    <row r="299" spans="1:5" x14ac:dyDescent="0.3">
      <c r="A299" t="s">
        <v>9</v>
      </c>
      <c r="B299" t="s">
        <v>573</v>
      </c>
      <c r="C299" t="str">
        <f t="shared" si="12"/>
        <v>"KSA 5 5/8 01/13/35"</v>
      </c>
      <c r="D299" t="str">
        <f t="shared" si="13"/>
        <v>"US80413TBL26"</v>
      </c>
      <c r="E299" t="str">
        <f t="shared" si="14"/>
        <v>"KSA 5 5/8 01/13/35": "US80413TBL26"</v>
      </c>
    </row>
    <row r="300" spans="1:5" x14ac:dyDescent="0.3">
      <c r="A300" t="s">
        <v>5</v>
      </c>
      <c r="B300" t="s">
        <v>574</v>
      </c>
      <c r="C300" t="str">
        <f t="shared" si="12"/>
        <v>"KSA 5 3/4 01/16/54"</v>
      </c>
      <c r="D300" t="str">
        <f t="shared" si="13"/>
        <v>"US80413TBH14"</v>
      </c>
      <c r="E300" t="str">
        <f t="shared" si="14"/>
        <v>"KSA 5 3/4 01/16/54": "US80413TBH14"</v>
      </c>
    </row>
    <row r="301" spans="1:5" x14ac:dyDescent="0.3">
      <c r="A301" t="s">
        <v>576</v>
      </c>
      <c r="B301" t="s">
        <v>575</v>
      </c>
      <c r="C301" t="str">
        <f t="shared" si="12"/>
        <v>"AALLN 4 1/2 03/15/28"</v>
      </c>
      <c r="D301" t="str">
        <f t="shared" si="13"/>
        <v>"USG0446NAP99"</v>
      </c>
      <c r="E301" t="str">
        <f t="shared" si="14"/>
        <v>"AALLN 4 1/2 03/15/28": "USG0446NAP99"</v>
      </c>
    </row>
    <row r="302" spans="1:5" x14ac:dyDescent="0.3">
      <c r="A302" t="s">
        <v>155</v>
      </c>
      <c r="B302" t="s">
        <v>577</v>
      </c>
      <c r="C302" t="str">
        <f t="shared" si="12"/>
        <v>"ROMANI 6 5/8 02/17/28"</v>
      </c>
      <c r="D302" t="str">
        <f t="shared" si="13"/>
        <v>"US77586RAQ39"</v>
      </c>
      <c r="E302" t="str">
        <f t="shared" si="14"/>
        <v>"ROMANI 6 5/8 02/17/28": "US77586RAQ39"</v>
      </c>
    </row>
    <row r="303" spans="1:5" x14ac:dyDescent="0.3">
      <c r="A303" t="s">
        <v>79</v>
      </c>
      <c r="B303" t="s">
        <v>578</v>
      </c>
      <c r="C303" t="str">
        <f t="shared" si="12"/>
        <v>"ARAMCO 3 1/2 04/16/29"</v>
      </c>
      <c r="D303" t="str">
        <f t="shared" si="13"/>
        <v>"US80414L2D64"</v>
      </c>
      <c r="E303" t="str">
        <f t="shared" si="14"/>
        <v>"ARAMCO 3 1/2 04/16/29": "US80414L2D64"</v>
      </c>
    </row>
    <row r="304" spans="1:5" x14ac:dyDescent="0.3">
      <c r="A304" t="s">
        <v>47</v>
      </c>
      <c r="B304" t="s">
        <v>579</v>
      </c>
      <c r="C304" t="str">
        <f t="shared" si="12"/>
        <v>"KSA 5 1/8 01/13/28"</v>
      </c>
      <c r="D304" t="str">
        <f t="shared" si="13"/>
        <v>"US80413TBJ79"</v>
      </c>
      <c r="E304" t="str">
        <f t="shared" si="14"/>
        <v>"KSA 5 1/8 01/13/28": "US80413TBJ79"</v>
      </c>
    </row>
    <row r="305" spans="1:5" x14ac:dyDescent="0.3">
      <c r="A305" t="s">
        <v>101</v>
      </c>
      <c r="B305" t="s">
        <v>580</v>
      </c>
      <c r="C305" t="str">
        <f t="shared" si="12"/>
        <v>"KSA 4 3/4 01/16/30"</v>
      </c>
      <c r="D305" t="str">
        <f t="shared" si="13"/>
        <v>"US80413TBF57"</v>
      </c>
      <c r="E305" t="str">
        <f t="shared" si="14"/>
        <v>"KSA 4 3/4 01/16/30": "US80413TBF57"</v>
      </c>
    </row>
    <row r="306" spans="1:5" x14ac:dyDescent="0.3">
      <c r="A306" t="s">
        <v>206</v>
      </c>
      <c r="B306" t="s">
        <v>581</v>
      </c>
      <c r="C306" t="str">
        <f t="shared" si="12"/>
        <v>"CDEL 6.78 01/13/55"</v>
      </c>
      <c r="D306" t="str">
        <f t="shared" si="13"/>
        <v>"US21987BBM90"</v>
      </c>
      <c r="E306" t="str">
        <f t="shared" si="14"/>
        <v>"CDEL 6.78 01/13/55": "US21987BBM90"</v>
      </c>
    </row>
    <row r="307" spans="1:5" x14ac:dyDescent="0.3">
      <c r="A307" t="s">
        <v>583</v>
      </c>
      <c r="B307" t="s">
        <v>582</v>
      </c>
      <c r="C307" t="str">
        <f t="shared" si="12"/>
        <v>"SQM 3 1/2 09/10/51"</v>
      </c>
      <c r="D307" t="str">
        <f t="shared" si="13"/>
        <v>"USP8718AAN65"</v>
      </c>
      <c r="E307" t="str">
        <f t="shared" si="14"/>
        <v>"SQM 3 1/2 09/10/51": "USP8718AAN65"</v>
      </c>
    </row>
    <row r="308" spans="1:5" x14ac:dyDescent="0.3">
      <c r="A308" t="s">
        <v>501</v>
      </c>
      <c r="B308" t="s">
        <v>584</v>
      </c>
      <c r="C308" t="str">
        <f t="shared" si="12"/>
        <v>"BIMBOA 4 09/06/49"</v>
      </c>
      <c r="D308" t="str">
        <f t="shared" si="13"/>
        <v>"USP4949BAP96"</v>
      </c>
      <c r="E308" t="str">
        <f t="shared" si="14"/>
        <v>"BIMBOA 4 09/06/49": "USP4949BAP96"</v>
      </c>
    </row>
    <row r="309" spans="1:5" x14ac:dyDescent="0.3">
      <c r="A309" t="s">
        <v>586</v>
      </c>
      <c r="B309" t="s">
        <v>585</v>
      </c>
      <c r="C309" t="str">
        <f t="shared" si="12"/>
        <v>"MUBAUH 4 1/2 11/07/28"</v>
      </c>
      <c r="D309" t="str">
        <f t="shared" si="13"/>
        <v>"XS1904648570"</v>
      </c>
      <c r="E309" t="str">
        <f t="shared" si="14"/>
        <v>"MUBAUH 4 1/2 11/07/28": "XS1904648570"</v>
      </c>
    </row>
    <row r="310" spans="1:5" x14ac:dyDescent="0.3">
      <c r="A310" t="s">
        <v>200</v>
      </c>
      <c r="B310" t="s">
        <v>587</v>
      </c>
      <c r="C310" t="str">
        <f t="shared" si="12"/>
        <v>"QATAR 4.4 04/16/50"</v>
      </c>
      <c r="D310" t="str">
        <f t="shared" si="13"/>
        <v>"US74727PBE07"</v>
      </c>
      <c r="E310" t="str">
        <f t="shared" si="14"/>
        <v>"QATAR 4.4 04/16/50": "US74727PBE07"</v>
      </c>
    </row>
    <row r="311" spans="1:5" x14ac:dyDescent="0.3">
      <c r="A311" t="s">
        <v>208</v>
      </c>
      <c r="B311" t="s">
        <v>588</v>
      </c>
      <c r="C311" t="str">
        <f t="shared" si="12"/>
        <v>"BGOSK 5 3/4 07/09/34"</v>
      </c>
      <c r="D311" t="str">
        <f t="shared" si="13"/>
        <v>"US06237MAC73"</v>
      </c>
      <c r="E311" t="str">
        <f t="shared" si="14"/>
        <v>"BGOSK 5 3/4 07/09/34": "US06237MAC73"</v>
      </c>
    </row>
    <row r="312" spans="1:5" x14ac:dyDescent="0.3">
      <c r="A312" t="s">
        <v>216</v>
      </c>
      <c r="B312" t="s">
        <v>589</v>
      </c>
      <c r="C312" t="str">
        <f t="shared" si="12"/>
        <v>"CFELEC 3.348 02/09/31"</v>
      </c>
      <c r="D312" t="str">
        <f t="shared" si="13"/>
        <v>"US200447AH32"</v>
      </c>
      <c r="E312" t="str">
        <f t="shared" si="14"/>
        <v>"CFELEC 3.348 02/09/31": "US200447AH32"</v>
      </c>
    </row>
    <row r="313" spans="1:5" x14ac:dyDescent="0.3">
      <c r="A313" t="s">
        <v>591</v>
      </c>
      <c r="B313" t="s">
        <v>590</v>
      </c>
      <c r="C313" t="str">
        <f t="shared" si="12"/>
        <v>"PERU 3.6 01/15/2072"</v>
      </c>
      <c r="D313" t="str">
        <f t="shared" si="13"/>
        <v>"US715638DW93"</v>
      </c>
      <c r="E313" t="str">
        <f t="shared" si="14"/>
        <v>"PERU 3.6 01/15/2072": "US715638DW93"</v>
      </c>
    </row>
    <row r="314" spans="1:5" x14ac:dyDescent="0.3">
      <c r="A314" t="s">
        <v>593</v>
      </c>
      <c r="B314" t="s">
        <v>592</v>
      </c>
      <c r="C314" t="str">
        <f t="shared" si="12"/>
        <v>"MEX 4.6 02/10/48"</v>
      </c>
      <c r="D314" t="str">
        <f t="shared" si="13"/>
        <v>"US91087BAD29"</v>
      </c>
      <c r="E314" t="str">
        <f t="shared" si="14"/>
        <v>"MEX 4.6 02/10/48": "US91087BAD29"</v>
      </c>
    </row>
    <row r="315" spans="1:5" x14ac:dyDescent="0.3">
      <c r="A315" t="s">
        <v>410</v>
      </c>
      <c r="B315" t="s">
        <v>594</v>
      </c>
      <c r="C315" t="str">
        <f t="shared" si="12"/>
        <v>"AALLN 2 5/8 09/10/30"</v>
      </c>
      <c r="D315" t="str">
        <f t="shared" si="13"/>
        <v>"USG0446NAS39"</v>
      </c>
      <c r="E315" t="str">
        <f t="shared" si="14"/>
        <v>"AALLN 2 5/8 09/10/30": "USG0446NAS39"</v>
      </c>
    </row>
    <row r="316" spans="1:5" x14ac:dyDescent="0.3">
      <c r="A316" t="s">
        <v>596</v>
      </c>
      <c r="B316" t="s">
        <v>595</v>
      </c>
      <c r="C316" t="str">
        <f t="shared" si="12"/>
        <v>"CDEL 4 1/2 08/01/47"</v>
      </c>
      <c r="D316" t="str">
        <f t="shared" si="13"/>
        <v>"USP3143NAZ70"</v>
      </c>
      <c r="E316" t="str">
        <f t="shared" si="14"/>
        <v>"CDEL 4 1/2 08/01/47": "USP3143NAZ70"</v>
      </c>
    </row>
    <row r="317" spans="1:5" x14ac:dyDescent="0.3">
      <c r="A317" t="s">
        <v>218</v>
      </c>
      <c r="B317" t="s">
        <v>597</v>
      </c>
      <c r="C317" t="str">
        <f t="shared" si="12"/>
        <v>"QATAR 5.103 04/23/48"</v>
      </c>
      <c r="D317" t="str">
        <f t="shared" si="13"/>
        <v>"US74727PAY79"</v>
      </c>
      <c r="E317" t="str">
        <f t="shared" si="14"/>
        <v>"QATAR 5.103 04/23/48": "US74727PAY79"</v>
      </c>
    </row>
    <row r="318" spans="1:5" x14ac:dyDescent="0.3">
      <c r="A318" t="s">
        <v>49</v>
      </c>
      <c r="B318" t="s">
        <v>598</v>
      </c>
      <c r="C318" t="str">
        <f t="shared" si="12"/>
        <v>"ARAMCO 5 3/4 07/17/54"</v>
      </c>
      <c r="D318" t="str">
        <f t="shared" si="13"/>
        <v>"US80414L2P94"</v>
      </c>
      <c r="E318" t="str">
        <f t="shared" si="14"/>
        <v>"ARAMCO 5 3/4 07/17/54": "US80414L2P94"</v>
      </c>
    </row>
    <row r="319" spans="1:5" x14ac:dyDescent="0.3">
      <c r="A319" t="s">
        <v>600</v>
      </c>
      <c r="B319" t="s">
        <v>599</v>
      </c>
      <c r="C319" t="str">
        <f t="shared" si="12"/>
        <v>"MUBAUH 3 3/8 03/28/32"</v>
      </c>
      <c r="D319" t="str">
        <f t="shared" si="13"/>
        <v>"XS2455984679"</v>
      </c>
      <c r="E319" t="str">
        <f t="shared" si="14"/>
        <v>"MUBAUH 3 3/8 03/28/32": "XS2455984679"</v>
      </c>
    </row>
    <row r="320" spans="1:5" x14ac:dyDescent="0.3">
      <c r="A320" t="s">
        <v>499</v>
      </c>
      <c r="B320" t="s">
        <v>601</v>
      </c>
      <c r="C320" t="str">
        <f t="shared" si="12"/>
        <v>"PRXNA 4.85 07/06/27"</v>
      </c>
      <c r="D320" t="str">
        <f t="shared" si="13"/>
        <v>"US62856RAD70"</v>
      </c>
      <c r="E320" t="str">
        <f t="shared" si="14"/>
        <v>"PRXNA 4.85 07/06/27": "US62856RAD70"</v>
      </c>
    </row>
    <row r="321" spans="1:5" x14ac:dyDescent="0.3">
      <c r="A321" t="s">
        <v>45</v>
      </c>
      <c r="B321" t="s">
        <v>602</v>
      </c>
      <c r="C321" t="str">
        <f t="shared" si="12"/>
        <v>"KSA 5 01/16/34"</v>
      </c>
      <c r="D321" t="str">
        <f t="shared" si="13"/>
        <v>"US80413TBG31"</v>
      </c>
      <c r="E321" t="str">
        <f t="shared" si="14"/>
        <v>"KSA 5 01/16/34": "US80413TBG31"</v>
      </c>
    </row>
    <row r="322" spans="1:5" x14ac:dyDescent="0.3">
      <c r="A322" t="s">
        <v>310</v>
      </c>
      <c r="B322" t="s">
        <v>603</v>
      </c>
      <c r="C322" t="str">
        <f t="shared" ref="C322:C385" si="15">""""&amp;A322&amp;""""</f>
        <v>"CDEL 6.44 01/26/36"</v>
      </c>
      <c r="D322" t="str">
        <f t="shared" ref="D322:D385" si="16">""""&amp;B322&amp;""""</f>
        <v>"US21987BBK35"</v>
      </c>
      <c r="E322" t="str">
        <f t="shared" ref="E322:E385" si="17">C322&amp;": "&amp;D322</f>
        <v>"CDEL 6.44 01/26/36": "US21987BBK35"</v>
      </c>
    </row>
    <row r="323" spans="1:5" x14ac:dyDescent="0.3">
      <c r="A323" t="s">
        <v>360</v>
      </c>
      <c r="B323" t="s">
        <v>604</v>
      </c>
      <c r="C323" t="str">
        <f t="shared" si="15"/>
        <v>"CDEL 6.3 09/08/53"</v>
      </c>
      <c r="D323" t="str">
        <f t="shared" si="16"/>
        <v>"US21987BBH06"</v>
      </c>
      <c r="E323" t="str">
        <f t="shared" si="17"/>
        <v>"CDEL 6.3 09/08/53": "US21987BBH06"</v>
      </c>
    </row>
    <row r="324" spans="1:5" x14ac:dyDescent="0.3">
      <c r="A324" t="s">
        <v>576</v>
      </c>
      <c r="B324" t="s">
        <v>605</v>
      </c>
      <c r="C324" t="str">
        <f t="shared" si="15"/>
        <v>"AALLN 4 1/2 03/15/28"</v>
      </c>
      <c r="D324" t="str">
        <f t="shared" si="16"/>
        <v>"US034863AU41"</v>
      </c>
      <c r="E324" t="str">
        <f t="shared" si="17"/>
        <v>"AALLN 4 1/2 03/15/28": "US034863AU41"</v>
      </c>
    </row>
    <row r="325" spans="1:5" x14ac:dyDescent="0.3">
      <c r="A325" t="s">
        <v>607</v>
      </c>
      <c r="B325" t="s">
        <v>606</v>
      </c>
      <c r="C325" t="str">
        <f t="shared" si="15"/>
        <v>"CDEL 4 1/4 07/17/42"</v>
      </c>
      <c r="D325" t="str">
        <f t="shared" si="16"/>
        <v>"US21987BAR96"</v>
      </c>
      <c r="E325" t="str">
        <f t="shared" si="17"/>
        <v>"CDEL 4 1/4 07/17/42": "US21987BAR96"</v>
      </c>
    </row>
    <row r="326" spans="1:5" x14ac:dyDescent="0.3">
      <c r="A326" t="s">
        <v>65</v>
      </c>
      <c r="B326" t="s">
        <v>608</v>
      </c>
      <c r="C326" t="str">
        <f t="shared" si="15"/>
        <v>"ROMANI 7 1/2 02/10/37"</v>
      </c>
      <c r="D326" t="str">
        <f t="shared" si="16"/>
        <v>"US77586RAW07"</v>
      </c>
      <c r="E326" t="str">
        <f t="shared" si="17"/>
        <v>"ROMANI 7 1/2 02/10/37": "US77586RAW07"</v>
      </c>
    </row>
    <row r="327" spans="1:5" x14ac:dyDescent="0.3">
      <c r="A327" t="s">
        <v>607</v>
      </c>
      <c r="B327" t="s">
        <v>609</v>
      </c>
      <c r="C327" t="str">
        <f t="shared" si="15"/>
        <v>"CDEL 4 1/4 07/17/42"</v>
      </c>
      <c r="D327" t="str">
        <f t="shared" si="16"/>
        <v>"USP3143NAQ71"</v>
      </c>
      <c r="E327" t="str">
        <f t="shared" si="17"/>
        <v>"CDEL 4 1/4 07/17/42": "USP3143NAQ71"</v>
      </c>
    </row>
    <row r="328" spans="1:5" x14ac:dyDescent="0.3">
      <c r="A328" t="s">
        <v>121</v>
      </c>
      <c r="B328" t="s">
        <v>610</v>
      </c>
      <c r="C328" t="str">
        <f t="shared" si="15"/>
        <v>"REPHUN 6 1/4 09/22/32"</v>
      </c>
      <c r="D328" t="str">
        <f t="shared" si="16"/>
        <v>"US445545AS56"</v>
      </c>
      <c r="E328" t="str">
        <f t="shared" si="17"/>
        <v>"REPHUN 6 1/4 09/22/32": "US445545AS56"</v>
      </c>
    </row>
    <row r="329" spans="1:5" x14ac:dyDescent="0.3">
      <c r="A329" t="s">
        <v>265</v>
      </c>
      <c r="B329" t="s">
        <v>611</v>
      </c>
      <c r="C329" t="str">
        <f t="shared" si="15"/>
        <v>"QATAR 4.817 03/14/49"</v>
      </c>
      <c r="D329" t="str">
        <f t="shared" si="16"/>
        <v>"US74727PBB67"</v>
      </c>
      <c r="E329" t="str">
        <f t="shared" si="17"/>
        <v>"QATAR 4.817 03/14/49": "US74727PBB67"</v>
      </c>
    </row>
    <row r="330" spans="1:5" x14ac:dyDescent="0.3">
      <c r="A330" t="s">
        <v>123</v>
      </c>
      <c r="B330" t="s">
        <v>612</v>
      </c>
      <c r="C330" t="str">
        <f t="shared" si="15"/>
        <v>"REPHUN 6 3/4 09/25/52"</v>
      </c>
      <c r="D330" t="str">
        <f t="shared" si="16"/>
        <v>"US445545AT30"</v>
      </c>
      <c r="E330" t="str">
        <f t="shared" si="17"/>
        <v>"REPHUN 6 3/4 09/25/52": "US445545AT30"</v>
      </c>
    </row>
    <row r="331" spans="1:5" x14ac:dyDescent="0.3">
      <c r="A331" t="s">
        <v>69</v>
      </c>
      <c r="B331" t="s">
        <v>613</v>
      </c>
      <c r="C331" t="str">
        <f t="shared" si="15"/>
        <v>"ROMANI 7 1/8 01/17/33"</v>
      </c>
      <c r="D331" t="str">
        <f t="shared" si="16"/>
        <v>"US77586RAR12"</v>
      </c>
      <c r="E331" t="str">
        <f t="shared" si="17"/>
        <v>"ROMANI 7 1/8 01/17/33": "US77586RAR12"</v>
      </c>
    </row>
    <row r="332" spans="1:5" x14ac:dyDescent="0.3">
      <c r="A332" t="s">
        <v>326</v>
      </c>
      <c r="B332" t="s">
        <v>614</v>
      </c>
      <c r="C332" t="str">
        <f t="shared" si="15"/>
        <v>"ADGB 3 7/8 04/16/50"</v>
      </c>
      <c r="D332" t="str">
        <f t="shared" si="16"/>
        <v>"US29135LAJ98"</v>
      </c>
      <c r="E332" t="str">
        <f t="shared" si="17"/>
        <v>"ADGB 3 7/8 04/16/50": "US29135LAJ98"</v>
      </c>
    </row>
    <row r="333" spans="1:5" x14ac:dyDescent="0.3">
      <c r="A333" t="s">
        <v>37</v>
      </c>
      <c r="B333" t="s">
        <v>615</v>
      </c>
      <c r="C333" t="str">
        <f t="shared" si="15"/>
        <v>"ROMANI 7 5/8 01/17/53"</v>
      </c>
      <c r="D333" t="str">
        <f t="shared" si="16"/>
        <v>"US77586RAS94"</v>
      </c>
      <c r="E333" t="str">
        <f t="shared" si="17"/>
        <v>"ROMANI 7 5/8 01/17/53": "US77586RAS94"</v>
      </c>
    </row>
    <row r="334" spans="1:5" x14ac:dyDescent="0.3">
      <c r="A334" t="s">
        <v>515</v>
      </c>
      <c r="B334" t="s">
        <v>616</v>
      </c>
      <c r="C334" t="str">
        <f t="shared" si="15"/>
        <v>"CFELEC 4.677 02/09/51"</v>
      </c>
      <c r="D334" t="str">
        <f t="shared" si="16"/>
        <v>"US200447AJ97"</v>
      </c>
      <c r="E334" t="str">
        <f t="shared" si="17"/>
        <v>"CFELEC 4.677 02/09/51": "US200447AJ97"</v>
      </c>
    </row>
    <row r="335" spans="1:5" x14ac:dyDescent="0.3">
      <c r="A335" t="s">
        <v>194</v>
      </c>
      <c r="B335" t="s">
        <v>617</v>
      </c>
      <c r="C335" t="str">
        <f t="shared" si="15"/>
        <v>"CDEL 6.33 01/13/35"</v>
      </c>
      <c r="D335" t="str">
        <f t="shared" si="16"/>
        <v>"US21987BBL18"</v>
      </c>
      <c r="E335" t="str">
        <f t="shared" si="17"/>
        <v>"CDEL 6.33 01/13/35": "US21987BBL18"</v>
      </c>
    </row>
    <row r="336" spans="1:5" x14ac:dyDescent="0.3">
      <c r="A336" t="s">
        <v>619</v>
      </c>
      <c r="B336" t="s">
        <v>618</v>
      </c>
      <c r="C336" t="str">
        <f t="shared" si="15"/>
        <v>"CDEL 4 7/8 11/04/44"</v>
      </c>
      <c r="D336" t="str">
        <f t="shared" si="16"/>
        <v>"USP3143NAU83"</v>
      </c>
      <c r="E336" t="str">
        <f t="shared" si="17"/>
        <v>"CDEL 4 7/8 11/04/44": "USP3143NAU83"</v>
      </c>
    </row>
    <row r="337" spans="1:5" x14ac:dyDescent="0.3">
      <c r="A337" t="s">
        <v>17</v>
      </c>
      <c r="B337" t="s">
        <v>620</v>
      </c>
      <c r="C337" t="str">
        <f t="shared" si="15"/>
        <v>"ARAMCO 5 7/8 07/17/64"</v>
      </c>
      <c r="D337" t="str">
        <f t="shared" si="16"/>
        <v>"US80414L2Q77"</v>
      </c>
      <c r="E337" t="str">
        <f t="shared" si="17"/>
        <v>"ARAMCO 5 7/8 07/17/64": "US80414L2Q77"</v>
      </c>
    </row>
    <row r="338" spans="1:5" x14ac:dyDescent="0.3">
      <c r="A338" t="s">
        <v>131</v>
      </c>
      <c r="B338" t="s">
        <v>621</v>
      </c>
      <c r="C338" t="str">
        <f t="shared" si="15"/>
        <v>"REPHUN 5 1/2 03/26/36"</v>
      </c>
      <c r="D338" t="str">
        <f t="shared" si="16"/>
        <v>"US445545AU03"</v>
      </c>
      <c r="E338" t="str">
        <f t="shared" si="17"/>
        <v>"REPHUN 5 1/2 03/26/36": "US445545AU03"</v>
      </c>
    </row>
    <row r="339" spans="1:5" x14ac:dyDescent="0.3">
      <c r="A339" t="s">
        <v>623</v>
      </c>
      <c r="B339" t="s">
        <v>622</v>
      </c>
      <c r="C339" t="str">
        <f t="shared" si="15"/>
        <v>"CFELEC 4.05 03/20/50"</v>
      </c>
      <c r="D339" t="str">
        <f t="shared" si="16"/>
        <v>"XS2133064480"</v>
      </c>
      <c r="E339" t="str">
        <f t="shared" si="17"/>
        <v>"CFELEC 4.05 03/20/50": "XS2133064480"</v>
      </c>
    </row>
    <row r="340" spans="1:5" x14ac:dyDescent="0.3">
      <c r="A340" t="s">
        <v>277</v>
      </c>
      <c r="B340" t="s">
        <v>624</v>
      </c>
      <c r="C340" t="str">
        <f t="shared" si="15"/>
        <v>"PRXNA 3.832 02/08/51"</v>
      </c>
      <c r="D340" t="str">
        <f t="shared" si="16"/>
        <v>"US74365PAE88"</v>
      </c>
      <c r="E340" t="str">
        <f t="shared" si="17"/>
        <v>"PRXNA 3.832 02/08/51": "US74365PAE88"</v>
      </c>
    </row>
    <row r="341" spans="1:5" x14ac:dyDescent="0.3">
      <c r="A341" t="s">
        <v>312</v>
      </c>
      <c r="B341" t="s">
        <v>625</v>
      </c>
      <c r="C341" t="str">
        <f t="shared" si="15"/>
        <v>"PRXNA 4.987 01/19/52"</v>
      </c>
      <c r="D341" t="str">
        <f t="shared" si="16"/>
        <v>"US74365PAJ75"</v>
      </c>
      <c r="E341" t="str">
        <f t="shared" si="17"/>
        <v>"PRXNA 4.987 01/19/52": "US74365PAJ75"</v>
      </c>
    </row>
    <row r="342" spans="1:5" x14ac:dyDescent="0.3">
      <c r="A342" t="s">
        <v>246</v>
      </c>
      <c r="B342" t="s">
        <v>626</v>
      </c>
      <c r="C342" t="str">
        <f t="shared" si="15"/>
        <v>"SQM 6 1/2 11/07/33"</v>
      </c>
      <c r="D342" t="str">
        <f t="shared" si="16"/>
        <v>"US833636AN33"</v>
      </c>
      <c r="E342" t="str">
        <f t="shared" si="17"/>
        <v>"SQM 6 1/2 11/07/33": "US833636AN33"</v>
      </c>
    </row>
    <row r="343" spans="1:5" x14ac:dyDescent="0.3">
      <c r="A343" t="s">
        <v>73</v>
      </c>
      <c r="B343" t="s">
        <v>627</v>
      </c>
      <c r="C343" t="str">
        <f t="shared" si="15"/>
        <v>"KSA 5 01/18/53"</v>
      </c>
      <c r="D343" t="str">
        <f t="shared" si="16"/>
        <v>"US80413TBE82"</v>
      </c>
      <c r="E343" t="str">
        <f t="shared" si="17"/>
        <v>"KSA 5 01/18/53": "US80413TBE82"</v>
      </c>
    </row>
    <row r="344" spans="1:5" x14ac:dyDescent="0.3">
      <c r="A344" t="s">
        <v>226</v>
      </c>
      <c r="B344" t="s">
        <v>628</v>
      </c>
      <c r="C344" t="str">
        <f t="shared" si="15"/>
        <v>"REPHUN 5 1/4 06/16/29"</v>
      </c>
      <c r="D344" t="str">
        <f t="shared" si="16"/>
        <v>"US445545AP18"</v>
      </c>
      <c r="E344" t="str">
        <f t="shared" si="17"/>
        <v>"REPHUN 5 1/4 06/16/29": "US445545AP18"</v>
      </c>
    </row>
    <row r="345" spans="1:5" x14ac:dyDescent="0.3">
      <c r="A345" t="s">
        <v>232</v>
      </c>
      <c r="B345" t="s">
        <v>629</v>
      </c>
      <c r="C345" t="str">
        <f t="shared" si="15"/>
        <v>"ADQABU 4 1/2 05/06/30"</v>
      </c>
      <c r="D345" t="str">
        <f t="shared" si="16"/>
        <v>"US00402AAA97"</v>
      </c>
      <c r="E345" t="str">
        <f t="shared" si="17"/>
        <v>"ADQABU 4 1/2 05/06/30": "US00402AAA97"</v>
      </c>
    </row>
    <row r="346" spans="1:5" x14ac:dyDescent="0.3">
      <c r="A346" t="s">
        <v>97</v>
      </c>
      <c r="B346" t="s">
        <v>630</v>
      </c>
      <c r="C346" t="str">
        <f t="shared" si="15"/>
        <v>"ROMANI 6 3/8 01/30/34"</v>
      </c>
      <c r="D346" t="str">
        <f t="shared" si="16"/>
        <v>"US77586RAU41"</v>
      </c>
      <c r="E346" t="str">
        <f t="shared" si="17"/>
        <v>"ROMANI 6 3/8 01/30/34": "US77586RAU41"</v>
      </c>
    </row>
    <row r="347" spans="1:5" x14ac:dyDescent="0.3">
      <c r="A347" t="s">
        <v>439</v>
      </c>
      <c r="B347" t="s">
        <v>631</v>
      </c>
      <c r="C347" t="str">
        <f t="shared" si="15"/>
        <v>"UAE 2 7/8 10/19/41"</v>
      </c>
      <c r="D347" t="str">
        <f t="shared" si="16"/>
        <v>"US31424EAC66"</v>
      </c>
      <c r="E347" t="str">
        <f t="shared" si="17"/>
        <v>"UAE 2 7/8 10/19/41": "US31424EAC66"</v>
      </c>
    </row>
    <row r="348" spans="1:5" x14ac:dyDescent="0.3">
      <c r="A348" t="s">
        <v>633</v>
      </c>
      <c r="B348" t="s">
        <v>632</v>
      </c>
      <c r="C348" t="str">
        <f t="shared" si="15"/>
        <v>"MUBAUH 3 3/4 04/19/29"</v>
      </c>
      <c r="D348" t="str">
        <f t="shared" si="16"/>
        <v>"XS1598828298"</v>
      </c>
      <c r="E348" t="str">
        <f t="shared" si="17"/>
        <v>"MUBAUH 3 3/4 04/19/29": "XS1598828298"</v>
      </c>
    </row>
    <row r="349" spans="1:5" x14ac:dyDescent="0.3">
      <c r="A349" t="s">
        <v>224</v>
      </c>
      <c r="B349" t="s">
        <v>634</v>
      </c>
      <c r="C349" t="str">
        <f t="shared" si="15"/>
        <v>"KSA 3.45 02/02/61"</v>
      </c>
      <c r="D349" t="str">
        <f t="shared" si="16"/>
        <v>"US80413TAW99"</v>
      </c>
      <c r="E349" t="str">
        <f t="shared" si="17"/>
        <v>"KSA 3.45 02/02/61": "US80413TAW99"</v>
      </c>
    </row>
    <row r="350" spans="1:5" x14ac:dyDescent="0.3">
      <c r="A350" t="s">
        <v>320</v>
      </c>
      <c r="B350" t="s">
        <v>635</v>
      </c>
      <c r="C350" t="str">
        <f t="shared" si="15"/>
        <v>"PRXNA 3.061 07/13/31"</v>
      </c>
      <c r="D350" t="str">
        <f t="shared" si="16"/>
        <v>"US74365PAF53"</v>
      </c>
      <c r="E350" t="str">
        <f t="shared" si="17"/>
        <v>"PRXNA 3.061 07/13/31": "US74365PAF53"</v>
      </c>
    </row>
    <row r="351" spans="1:5" x14ac:dyDescent="0.3">
      <c r="A351" t="s">
        <v>161</v>
      </c>
      <c r="B351" t="s">
        <v>636</v>
      </c>
      <c r="C351" t="str">
        <f t="shared" si="15"/>
        <v>"QATAR 4 3/4 05/29/34"</v>
      </c>
      <c r="D351" t="str">
        <f t="shared" si="16"/>
        <v>"US74738PTP35"</v>
      </c>
      <c r="E351" t="str">
        <f t="shared" si="17"/>
        <v>"QATAR 4 3/4 05/29/34": "US74738PTP35"</v>
      </c>
    </row>
    <row r="352" spans="1:5" x14ac:dyDescent="0.3">
      <c r="A352" t="s">
        <v>87</v>
      </c>
      <c r="B352" t="s">
        <v>637</v>
      </c>
      <c r="C352" t="str">
        <f t="shared" si="15"/>
        <v>"ROMANI 5 7/8 01/30/29"</v>
      </c>
      <c r="D352" t="str">
        <f t="shared" si="16"/>
        <v>"US77586RAT77"</v>
      </c>
      <c r="E352" t="str">
        <f t="shared" si="17"/>
        <v>"ROMANI 5 7/8 01/30/29": "US77586RAT77"</v>
      </c>
    </row>
    <row r="353" spans="1:5" x14ac:dyDescent="0.3">
      <c r="A353" t="s">
        <v>169</v>
      </c>
      <c r="B353" t="s">
        <v>638</v>
      </c>
      <c r="C353" t="str">
        <f t="shared" si="15"/>
        <v>"PRXNA 3.68 01/21/30"</v>
      </c>
      <c r="D353" t="str">
        <f t="shared" si="16"/>
        <v>"US74365PAA66"</v>
      </c>
      <c r="E353" t="str">
        <f t="shared" si="17"/>
        <v>"PRXNA 3.68 01/21/30": "US74365PAA66"</v>
      </c>
    </row>
    <row r="354" spans="1:5" x14ac:dyDescent="0.3">
      <c r="A354" t="s">
        <v>291</v>
      </c>
      <c r="B354" t="s">
        <v>639</v>
      </c>
      <c r="C354" t="str">
        <f t="shared" si="15"/>
        <v>"ARAMCO 4 3/8 04/16/49"</v>
      </c>
      <c r="D354" t="str">
        <f t="shared" si="16"/>
        <v>"US80414L2F13"</v>
      </c>
      <c r="E354" t="str">
        <f t="shared" si="17"/>
        <v>"ARAMCO 4 3/8 04/16/49": "US80414L2F13"</v>
      </c>
    </row>
    <row r="355" spans="1:5" x14ac:dyDescent="0.3">
      <c r="A355" t="s">
        <v>343</v>
      </c>
      <c r="B355" t="s">
        <v>640</v>
      </c>
      <c r="C355" t="str">
        <f t="shared" si="15"/>
        <v>"PRXNA 3.257 01/19/27"</v>
      </c>
      <c r="D355" t="str">
        <f t="shared" si="16"/>
        <v>"US74365PAG37"</v>
      </c>
      <c r="E355" t="str">
        <f t="shared" si="17"/>
        <v>"PRXNA 3.257 01/19/27": "US74365PAG37"</v>
      </c>
    </row>
    <row r="356" spans="1:5" x14ac:dyDescent="0.3">
      <c r="A356" t="s">
        <v>354</v>
      </c>
      <c r="B356" t="s">
        <v>641</v>
      </c>
      <c r="C356" t="str">
        <f t="shared" si="15"/>
        <v>"QATAR 9 3/4 06/15/30"</v>
      </c>
      <c r="D356" t="str">
        <f t="shared" si="16"/>
        <v>"US74727PAE16"</v>
      </c>
      <c r="E356" t="str">
        <f t="shared" si="17"/>
        <v>"QATAR 9 3/4 06/15/30": "US74727PAE16"</v>
      </c>
    </row>
    <row r="357" spans="1:5" x14ac:dyDescent="0.3">
      <c r="A357" t="s">
        <v>378</v>
      </c>
      <c r="B357" t="s">
        <v>642</v>
      </c>
      <c r="C357" t="str">
        <f t="shared" si="15"/>
        <v>"TAQAUH 4.696 04/24/33"</v>
      </c>
      <c r="D357" t="str">
        <f t="shared" si="16"/>
        <v>"US00388WAM38"</v>
      </c>
      <c r="E357" t="str">
        <f t="shared" si="17"/>
        <v>"TAQAUH 4.696 04/24/33": "US00388WAM38"</v>
      </c>
    </row>
    <row r="358" spans="1:5" x14ac:dyDescent="0.3">
      <c r="A358" t="s">
        <v>566</v>
      </c>
      <c r="B358" t="s">
        <v>643</v>
      </c>
      <c r="C358" t="str">
        <f t="shared" si="15"/>
        <v>"ADQABU 4 3/8 10/02/31"</v>
      </c>
      <c r="D358" t="str">
        <f t="shared" si="16"/>
        <v>"US00402D2C80"</v>
      </c>
      <c r="E358" t="str">
        <f t="shared" si="17"/>
        <v>"ADQABU 4 3/8 10/02/31": "US00402D2C80"</v>
      </c>
    </row>
    <row r="359" spans="1:5" x14ac:dyDescent="0.3">
      <c r="A359" t="s">
        <v>167</v>
      </c>
      <c r="B359" t="s">
        <v>644</v>
      </c>
      <c r="C359" t="str">
        <f t="shared" si="15"/>
        <v>"PRXNA 4.027 08/03/50"</v>
      </c>
      <c r="D359" t="str">
        <f t="shared" si="16"/>
        <v>"US74365PAD06"</v>
      </c>
      <c r="E359" t="str">
        <f t="shared" si="17"/>
        <v>"PRXNA 4.027 08/03/50": "US74365PAD06"</v>
      </c>
    </row>
    <row r="360" spans="1:5" x14ac:dyDescent="0.3">
      <c r="A360" t="s">
        <v>111</v>
      </c>
      <c r="B360" t="s">
        <v>645</v>
      </c>
      <c r="C360" t="str">
        <f t="shared" si="15"/>
        <v>"ADGB 3 1/8 05/03/26"</v>
      </c>
      <c r="D360" t="str">
        <f t="shared" si="16"/>
        <v>"US29134WAB37"</v>
      </c>
      <c r="E360" t="str">
        <f t="shared" si="17"/>
        <v>"ADGB 3 1/8 05/03/26": "US29134WAB37"</v>
      </c>
    </row>
    <row r="361" spans="1:5" x14ac:dyDescent="0.3">
      <c r="A361" t="s">
        <v>297</v>
      </c>
      <c r="B361" t="s">
        <v>646</v>
      </c>
      <c r="C361" t="str">
        <f t="shared" si="15"/>
        <v>"QATAR 3 3/4 04/16/30"</v>
      </c>
      <c r="D361" t="str">
        <f t="shared" si="16"/>
        <v>"US74727PBD24"</v>
      </c>
      <c r="E361" t="str">
        <f t="shared" si="17"/>
        <v>"QATAR 3 3/4 04/16/30": "US74727PBD24"</v>
      </c>
    </row>
    <row r="362" spans="1:5" x14ac:dyDescent="0.3">
      <c r="A362" t="s">
        <v>230</v>
      </c>
      <c r="B362" t="s">
        <v>647</v>
      </c>
      <c r="C362" t="str">
        <f t="shared" si="15"/>
        <v>"ROMANI 3 02/27/27"</v>
      </c>
      <c r="D362" t="str">
        <f t="shared" si="16"/>
        <v>"US77586RAK68"</v>
      </c>
      <c r="E362" t="str">
        <f t="shared" si="17"/>
        <v>"ROMANI 3 02/27/27": "US77586RAK68"</v>
      </c>
    </row>
    <row r="363" spans="1:5" x14ac:dyDescent="0.3">
      <c r="A363" t="s">
        <v>550</v>
      </c>
      <c r="B363" t="s">
        <v>648</v>
      </c>
      <c r="C363" t="str">
        <f t="shared" si="15"/>
        <v>"AALLN 4 3/4 03/16/52"</v>
      </c>
      <c r="D363" t="str">
        <f t="shared" si="16"/>
        <v>"USG0446NAX24"</v>
      </c>
      <c r="E363" t="str">
        <f t="shared" si="17"/>
        <v>"AALLN 4 3/4 03/16/52": "USG0446NAX24"</v>
      </c>
    </row>
    <row r="364" spans="1:5" x14ac:dyDescent="0.3">
      <c r="A364" t="s">
        <v>509</v>
      </c>
      <c r="B364" t="s">
        <v>649</v>
      </c>
      <c r="C364" t="str">
        <f t="shared" si="15"/>
        <v>"QATAR 4 1/2 02/27/28"</v>
      </c>
      <c r="D364" t="str">
        <f t="shared" si="16"/>
        <v>"US74738PLV84"</v>
      </c>
      <c r="E364" t="str">
        <f t="shared" si="17"/>
        <v>"QATAR 4 1/2 02/27/28": "US74738PLV84"</v>
      </c>
    </row>
    <row r="365" spans="1:5" x14ac:dyDescent="0.3">
      <c r="A365" t="s">
        <v>267</v>
      </c>
      <c r="B365" t="s">
        <v>650</v>
      </c>
      <c r="C365" t="str">
        <f t="shared" si="15"/>
        <v>"REPHUN 2 1/8 09/22/31"</v>
      </c>
      <c r="D365" t="str">
        <f t="shared" si="16"/>
        <v>"US445545AM86"</v>
      </c>
      <c r="E365" t="str">
        <f t="shared" si="17"/>
        <v>"REPHUN 2 1/8 09/22/31": "US445545AM86"</v>
      </c>
    </row>
    <row r="366" spans="1:5" x14ac:dyDescent="0.3">
      <c r="A366" t="s">
        <v>441</v>
      </c>
      <c r="B366" t="s">
        <v>651</v>
      </c>
      <c r="C366" t="str">
        <f t="shared" si="15"/>
        <v>"QATAR 4 5/8 06/02/46"</v>
      </c>
      <c r="D366" t="str">
        <f t="shared" si="16"/>
        <v>"US74727PAV31"</v>
      </c>
      <c r="E366" t="str">
        <f t="shared" si="17"/>
        <v>"QATAR 4 5/8 06/02/46": "US74727PAV31"</v>
      </c>
    </row>
    <row r="367" spans="1:5" x14ac:dyDescent="0.3">
      <c r="A367" t="s">
        <v>93</v>
      </c>
      <c r="B367" t="s">
        <v>652</v>
      </c>
      <c r="C367" t="str">
        <f t="shared" si="15"/>
        <v>"ADGB 5 1/2 04/30/54"</v>
      </c>
      <c r="D367" t="str">
        <f t="shared" si="16"/>
        <v>"US29135LAU44"</v>
      </c>
      <c r="E367" t="str">
        <f t="shared" si="17"/>
        <v>"ADGB 5 1/2 04/30/54": "US29135LAU44"</v>
      </c>
    </row>
    <row r="368" spans="1:5" x14ac:dyDescent="0.3">
      <c r="A368" t="s">
        <v>281</v>
      </c>
      <c r="B368" t="s">
        <v>653</v>
      </c>
      <c r="C368" t="str">
        <f t="shared" si="15"/>
        <v>"BGOSK 5 3/8 05/22/33"</v>
      </c>
      <c r="D368" t="str">
        <f t="shared" si="16"/>
        <v>"US06237MAA18"</v>
      </c>
      <c r="E368" t="str">
        <f t="shared" si="17"/>
        <v>"BGOSK 5 3/8 05/22/33": "US06237MAA18"</v>
      </c>
    </row>
    <row r="369" spans="1:5" x14ac:dyDescent="0.3">
      <c r="A369" t="s">
        <v>273</v>
      </c>
      <c r="B369" t="s">
        <v>654</v>
      </c>
      <c r="C369" t="str">
        <f t="shared" si="15"/>
        <v>"ADGB 1.7 03/02/31"</v>
      </c>
      <c r="D369" t="str">
        <f t="shared" si="16"/>
        <v>"US29135LAM28"</v>
      </c>
      <c r="E369" t="str">
        <f t="shared" si="17"/>
        <v>"ADGB 1.7 03/02/31": "US29135LAM28"</v>
      </c>
    </row>
    <row r="370" spans="1:5" x14ac:dyDescent="0.3">
      <c r="A370" t="s">
        <v>569</v>
      </c>
      <c r="B370" t="s">
        <v>655</v>
      </c>
      <c r="C370" t="str">
        <f t="shared" si="15"/>
        <v>"BIMBOA 4.7 11/10/47"</v>
      </c>
      <c r="D370" t="str">
        <f t="shared" si="16"/>
        <v>"US40052VAE48"</v>
      </c>
      <c r="E370" t="str">
        <f t="shared" si="17"/>
        <v>"BIMBOA 4.7 11/10/47": "US40052VAE48"</v>
      </c>
    </row>
    <row r="371" spans="1:5" x14ac:dyDescent="0.3">
      <c r="A371" t="s">
        <v>493</v>
      </c>
      <c r="B371" t="s">
        <v>656</v>
      </c>
      <c r="C371" t="str">
        <f t="shared" si="15"/>
        <v>"QATAR 4 1/2 04/23/28"</v>
      </c>
      <c r="D371" t="str">
        <f t="shared" si="16"/>
        <v>"US74727PAX96"</v>
      </c>
      <c r="E371" t="str">
        <f t="shared" si="17"/>
        <v>"QATAR 4 1/2 04/23/28": "US74727PAX96"</v>
      </c>
    </row>
    <row r="372" spans="1:5" x14ac:dyDescent="0.3">
      <c r="A372" t="s">
        <v>71</v>
      </c>
      <c r="B372" t="s">
        <v>657</v>
      </c>
      <c r="C372" t="str">
        <f t="shared" si="15"/>
        <v>"KSA 5 1/4 01/16/50"</v>
      </c>
      <c r="D372" t="str">
        <f t="shared" si="16"/>
        <v>"US80413TAL35"</v>
      </c>
      <c r="E372" t="str">
        <f t="shared" si="17"/>
        <v>"KSA 5 1/4 01/16/50": "US80413TAL35"</v>
      </c>
    </row>
    <row r="373" spans="1:5" x14ac:dyDescent="0.3">
      <c r="A373" t="s">
        <v>163</v>
      </c>
      <c r="B373" t="s">
        <v>658</v>
      </c>
      <c r="C373" t="str">
        <f t="shared" si="15"/>
        <v>"ARAMCO 2 1/4 11/24/30"</v>
      </c>
      <c r="D373" t="str">
        <f t="shared" si="16"/>
        <v>"US80414L2K08"</v>
      </c>
      <c r="E373" t="str">
        <f t="shared" si="17"/>
        <v>"ARAMCO 2 1/4 11/24/30": "US80414L2K08"</v>
      </c>
    </row>
    <row r="374" spans="1:5" x14ac:dyDescent="0.3">
      <c r="A374" t="s">
        <v>337</v>
      </c>
      <c r="B374" t="s">
        <v>659</v>
      </c>
      <c r="C374" t="str">
        <f t="shared" si="15"/>
        <v>"KSA 2 1/4 02/02/33"</v>
      </c>
      <c r="D374" t="str">
        <f t="shared" si="16"/>
        <v>"US80413TAV17"</v>
      </c>
      <c r="E374" t="str">
        <f t="shared" si="17"/>
        <v>"KSA 2 1/4 02/02/33": "US80413TAV17"</v>
      </c>
    </row>
    <row r="375" spans="1:5" x14ac:dyDescent="0.3">
      <c r="A375" t="s">
        <v>147</v>
      </c>
      <c r="B375" t="s">
        <v>660</v>
      </c>
      <c r="C375" t="str">
        <f t="shared" si="15"/>
        <v>"REPHUN 5 1/2 06/16/34"</v>
      </c>
      <c r="D375" t="str">
        <f t="shared" si="16"/>
        <v>"US445545AQ90"</v>
      </c>
      <c r="E375" t="str">
        <f t="shared" si="17"/>
        <v>"REPHUN 5 1/2 06/16/34": "US445545AQ90"</v>
      </c>
    </row>
    <row r="376" spans="1:5" x14ac:dyDescent="0.3">
      <c r="A376" t="s">
        <v>127</v>
      </c>
      <c r="B376" t="s">
        <v>661</v>
      </c>
      <c r="C376" t="str">
        <f t="shared" si="15"/>
        <v>"ADGB 5 04/30/34"</v>
      </c>
      <c r="D376" t="str">
        <f t="shared" si="16"/>
        <v>"US29135LAT70"</v>
      </c>
      <c r="E376" t="str">
        <f t="shared" si="17"/>
        <v>"ADGB 5 04/30/34": "US29135LAT70"</v>
      </c>
    </row>
    <row r="377" spans="1:5" x14ac:dyDescent="0.3">
      <c r="A377" t="s">
        <v>524</v>
      </c>
      <c r="B377" t="s">
        <v>662</v>
      </c>
      <c r="C377" t="str">
        <f t="shared" si="15"/>
        <v>"CDEL 3.7 01/30/50"</v>
      </c>
      <c r="D377" t="str">
        <f t="shared" si="16"/>
        <v>"US21987BBA52"</v>
      </c>
      <c r="E377" t="str">
        <f t="shared" si="17"/>
        <v>"CDEL 3.7 01/30/50": "US21987BBA52"</v>
      </c>
    </row>
    <row r="378" spans="1:5" x14ac:dyDescent="0.3">
      <c r="A378" t="s">
        <v>528</v>
      </c>
      <c r="B378" t="s">
        <v>663</v>
      </c>
      <c r="C378" t="str">
        <f t="shared" si="15"/>
        <v>"TAQAUH 3.4 04/29/51"</v>
      </c>
      <c r="D378" t="str">
        <f t="shared" si="16"/>
        <v>"US00388WAK71"</v>
      </c>
      <c r="E378" t="str">
        <f t="shared" si="17"/>
        <v>"TAQAUH 3.4 04/29/51": "US00388WAK71"</v>
      </c>
    </row>
    <row r="379" spans="1:5" x14ac:dyDescent="0.3">
      <c r="A379" t="s">
        <v>85</v>
      </c>
      <c r="B379" t="s">
        <v>664</v>
      </c>
      <c r="C379" t="str">
        <f t="shared" si="15"/>
        <v>"ROMANI 6 05/25/34"</v>
      </c>
      <c r="D379" t="str">
        <f t="shared" si="16"/>
        <v>"US77586RAP55"</v>
      </c>
      <c r="E379" t="str">
        <f t="shared" si="17"/>
        <v>"ROMANI 6 05/25/34": "US77586RAP55"</v>
      </c>
    </row>
    <row r="380" spans="1:5" x14ac:dyDescent="0.3">
      <c r="A380" t="s">
        <v>400</v>
      </c>
      <c r="B380" t="s">
        <v>665</v>
      </c>
      <c r="C380" t="str">
        <f t="shared" si="15"/>
        <v>"UAE 4.951 07/07/52"</v>
      </c>
      <c r="D380" t="str">
        <f t="shared" si="16"/>
        <v>"US31424EAE23"</v>
      </c>
      <c r="E380" t="str">
        <f t="shared" si="17"/>
        <v>"UAE 4.951 07/07/52": "US31424EAE23"</v>
      </c>
    </row>
    <row r="381" spans="1:5" x14ac:dyDescent="0.3">
      <c r="A381" t="s">
        <v>470</v>
      </c>
      <c r="B381" t="s">
        <v>666</v>
      </c>
      <c r="C381" t="str">
        <f t="shared" si="15"/>
        <v>"CFELEC 5 3/4 02/14/42"</v>
      </c>
      <c r="D381" t="str">
        <f t="shared" si="16"/>
        <v>"US200447AC45"</v>
      </c>
      <c r="E381" t="str">
        <f t="shared" si="17"/>
        <v>"CFELEC 5 3/4 02/14/42": "US200447AC45"</v>
      </c>
    </row>
    <row r="382" spans="1:5" x14ac:dyDescent="0.3">
      <c r="A382" t="s">
        <v>212</v>
      </c>
      <c r="B382" t="s">
        <v>667</v>
      </c>
      <c r="C382" t="str">
        <f t="shared" si="15"/>
        <v>"ADNOCM 4 1/2 09/11/34"</v>
      </c>
      <c r="D382" t="str">
        <f t="shared" si="16"/>
        <v>"US00723L2B42"</v>
      </c>
      <c r="E382" t="str">
        <f t="shared" si="17"/>
        <v>"ADNOCM 4 1/2 09/11/34": "US00723L2B42"</v>
      </c>
    </row>
    <row r="383" spans="1:5" x14ac:dyDescent="0.3">
      <c r="A383" t="s">
        <v>458</v>
      </c>
      <c r="B383" t="s">
        <v>668</v>
      </c>
      <c r="C383" t="str">
        <f t="shared" si="15"/>
        <v>"CDEL 5.95 01/08/34"</v>
      </c>
      <c r="D383" t="str">
        <f t="shared" si="16"/>
        <v>"US21987BBG23"</v>
      </c>
      <c r="E383" t="str">
        <f t="shared" si="17"/>
        <v>"CDEL 5.95 01/08/34": "US21987BBG23"</v>
      </c>
    </row>
    <row r="384" spans="1:5" x14ac:dyDescent="0.3">
      <c r="A384" t="s">
        <v>174</v>
      </c>
      <c r="B384" t="s">
        <v>669</v>
      </c>
      <c r="C384" t="str">
        <f t="shared" si="15"/>
        <v>"KSA 4 7/8 07/18/33"</v>
      </c>
      <c r="D384" t="str">
        <f t="shared" si="16"/>
        <v>"US80413TBD00"</v>
      </c>
      <c r="E384" t="str">
        <f t="shared" si="17"/>
        <v>"KSA 4 7/8 07/18/33": "US80413TBD00"</v>
      </c>
    </row>
    <row r="385" spans="1:5" x14ac:dyDescent="0.3">
      <c r="A385" t="s">
        <v>671</v>
      </c>
      <c r="B385" t="s">
        <v>670</v>
      </c>
      <c r="C385" t="str">
        <f t="shared" si="15"/>
        <v>"CFELEC 5 03/12/48"</v>
      </c>
      <c r="D385" t="str">
        <f t="shared" si="16"/>
        <v>"XS1773650681"</v>
      </c>
      <c r="E385" t="str">
        <f t="shared" si="17"/>
        <v>"CFELEC 5 03/12/48": "XS1773650681"</v>
      </c>
    </row>
    <row r="386" spans="1:5" x14ac:dyDescent="0.3">
      <c r="A386" t="s">
        <v>263</v>
      </c>
      <c r="B386" t="s">
        <v>672</v>
      </c>
      <c r="C386" t="str">
        <f t="shared" ref="C386:C449" si="18">""""&amp;A386&amp;""""</f>
        <v>"ROMANI 3 02/14/31"</v>
      </c>
      <c r="D386" t="str">
        <f t="shared" ref="D386:D449" si="19">""""&amp;B386&amp;""""</f>
        <v>"US77586RAH30"</v>
      </c>
      <c r="E386" t="str">
        <f t="shared" ref="E386:E449" si="20">C386&amp;": "&amp;D386</f>
        <v>"ROMANI 3 02/14/31": "US77586RAH30"</v>
      </c>
    </row>
    <row r="387" spans="1:5" x14ac:dyDescent="0.3">
      <c r="A387" t="s">
        <v>583</v>
      </c>
      <c r="B387" t="s">
        <v>673</v>
      </c>
      <c r="C387" t="str">
        <f t="shared" si="18"/>
        <v>"SQM 3 1/2 09/10/51"</v>
      </c>
      <c r="D387" t="str">
        <f t="shared" si="19"/>
        <v>"US833636AL76"</v>
      </c>
      <c r="E387" t="str">
        <f t="shared" si="20"/>
        <v>"SQM 3 1/2 09/10/51": "US833636AL76"</v>
      </c>
    </row>
    <row r="388" spans="1:5" x14ac:dyDescent="0.3">
      <c r="A388" t="s">
        <v>248</v>
      </c>
      <c r="B388" t="s">
        <v>674</v>
      </c>
      <c r="C388" t="str">
        <f t="shared" si="18"/>
        <v>"KSA 3 1/4 10/26/26"</v>
      </c>
      <c r="D388" t="str">
        <f t="shared" si="19"/>
        <v>"US80413TAB52"</v>
      </c>
      <c r="E388" t="str">
        <f t="shared" si="20"/>
        <v>"KSA 3 1/4 10/26/26": "US80413TAB52"</v>
      </c>
    </row>
    <row r="389" spans="1:5" x14ac:dyDescent="0.3">
      <c r="A389" t="s">
        <v>330</v>
      </c>
      <c r="B389" t="s">
        <v>675</v>
      </c>
      <c r="C389" t="str">
        <f t="shared" si="18"/>
        <v>"UAE 4.857 07/02/34"</v>
      </c>
      <c r="D389" t="str">
        <f t="shared" si="19"/>
        <v>"US909378AC51"</v>
      </c>
      <c r="E389" t="str">
        <f t="shared" si="20"/>
        <v>"UAE 4.857 07/02/34": "US909378AC51"</v>
      </c>
    </row>
    <row r="390" spans="1:5" x14ac:dyDescent="0.3">
      <c r="A390" t="s">
        <v>77</v>
      </c>
      <c r="B390" t="s">
        <v>676</v>
      </c>
      <c r="C390" t="str">
        <f t="shared" si="18"/>
        <v>"REPHUN 3 1/8 09/21/51"</v>
      </c>
      <c r="D390" t="str">
        <f t="shared" si="19"/>
        <v>"US445545AN69"</v>
      </c>
      <c r="E390" t="str">
        <f t="shared" si="20"/>
        <v>"REPHUN 3 1/8 09/21/51": "US445545AN69"</v>
      </c>
    </row>
    <row r="391" spans="1:5" x14ac:dyDescent="0.3">
      <c r="A391" t="s">
        <v>299</v>
      </c>
      <c r="B391" t="s">
        <v>677</v>
      </c>
      <c r="C391" t="str">
        <f t="shared" si="18"/>
        <v>"QATAR 3 1/4 06/02/26"</v>
      </c>
      <c r="D391" t="str">
        <f t="shared" si="19"/>
        <v>"US74727PAU57"</v>
      </c>
      <c r="E391" t="str">
        <f t="shared" si="20"/>
        <v>"QATAR 3 1/4 06/02/26": "US74727PAU57"</v>
      </c>
    </row>
    <row r="392" spans="1:5" x14ac:dyDescent="0.3">
      <c r="A392" t="s">
        <v>456</v>
      </c>
      <c r="B392" t="s">
        <v>678</v>
      </c>
      <c r="C392" t="str">
        <f t="shared" si="18"/>
        <v>"ADNOCM 4 1/4 09/11/29"</v>
      </c>
      <c r="D392" t="str">
        <f t="shared" si="19"/>
        <v>"US00723L2A68"</v>
      </c>
      <c r="E392" t="str">
        <f t="shared" si="20"/>
        <v>"ADNOCM 4 1/4 09/11/29": "US00723L2A68"</v>
      </c>
    </row>
    <row r="393" spans="1:5" x14ac:dyDescent="0.3">
      <c r="A393" t="s">
        <v>487</v>
      </c>
      <c r="B393" t="s">
        <v>679</v>
      </c>
      <c r="C393" t="str">
        <f t="shared" si="18"/>
        <v>"QATAR 4 5/8 05/29/29"</v>
      </c>
      <c r="D393" t="str">
        <f t="shared" si="19"/>
        <v>"US74738PAK49"</v>
      </c>
      <c r="E393" t="str">
        <f t="shared" si="20"/>
        <v>"QATAR 4 5/8 05/29/29": "US74738PAK49"</v>
      </c>
    </row>
    <row r="394" spans="1:5" x14ac:dyDescent="0.3">
      <c r="A394" t="s">
        <v>214</v>
      </c>
      <c r="B394" t="s">
        <v>680</v>
      </c>
      <c r="C394" t="str">
        <f t="shared" si="18"/>
        <v>"ADGB 4 1/8 10/11/47"</v>
      </c>
      <c r="D394" t="str">
        <f t="shared" si="19"/>
        <v>"US29135LAB62"</v>
      </c>
      <c r="E394" t="str">
        <f t="shared" si="20"/>
        <v>"ADGB 4 1/8 10/11/47": "US29135LAB62"</v>
      </c>
    </row>
    <row r="395" spans="1:5" x14ac:dyDescent="0.3">
      <c r="A395" t="s">
        <v>477</v>
      </c>
      <c r="B395" t="s">
        <v>681</v>
      </c>
      <c r="C395" t="str">
        <f t="shared" si="18"/>
        <v>"QATAR 4 03/14/29"</v>
      </c>
      <c r="D395" t="str">
        <f t="shared" si="19"/>
        <v>"US74727PBA84"</v>
      </c>
      <c r="E395" t="str">
        <f t="shared" si="20"/>
        <v>"QATAR 4 03/14/29": "US74727PBA84"</v>
      </c>
    </row>
    <row r="396" spans="1:5" x14ac:dyDescent="0.3">
      <c r="A396" t="s">
        <v>384</v>
      </c>
      <c r="B396" t="s">
        <v>682</v>
      </c>
      <c r="C396" t="str">
        <f t="shared" si="18"/>
        <v>"CDEL 3 3/4 01/15/31"</v>
      </c>
      <c r="D396" t="str">
        <f t="shared" si="19"/>
        <v>"US21987BBC19"</v>
      </c>
      <c r="E396" t="str">
        <f t="shared" si="20"/>
        <v>"CDEL 3 3/4 01/15/31": "US21987BBC19"</v>
      </c>
    </row>
    <row r="397" spans="1:5" x14ac:dyDescent="0.3">
      <c r="A397" t="s">
        <v>184</v>
      </c>
      <c r="B397" t="s">
        <v>683</v>
      </c>
      <c r="C397" t="str">
        <f t="shared" si="18"/>
        <v>"ROMANI 5 1/4 11/25/27"</v>
      </c>
      <c r="D397" t="str">
        <f t="shared" si="19"/>
        <v>"US77586RAN08"</v>
      </c>
      <c r="E397" t="str">
        <f t="shared" si="20"/>
        <v>"ROMANI 5 1/4 11/25/27": "US77586RAN08"</v>
      </c>
    </row>
    <row r="398" spans="1:5" x14ac:dyDescent="0.3">
      <c r="A398" t="s">
        <v>55</v>
      </c>
      <c r="B398" t="s">
        <v>684</v>
      </c>
      <c r="C398" t="str">
        <f t="shared" si="18"/>
        <v>"KSA 4 1/2 10/26/46"</v>
      </c>
      <c r="D398" t="str">
        <f t="shared" si="19"/>
        <v>"US80413TAC36"</v>
      </c>
      <c r="E398" t="str">
        <f t="shared" si="20"/>
        <v>"KSA 4 1/2 10/26/46": "US80413TAC36"</v>
      </c>
    </row>
    <row r="399" spans="1:5" x14ac:dyDescent="0.3">
      <c r="A399" t="s">
        <v>105</v>
      </c>
      <c r="B399" t="s">
        <v>685</v>
      </c>
      <c r="C399" t="str">
        <f t="shared" si="18"/>
        <v>"ADQABU 5 1/4 10/02/54"</v>
      </c>
      <c r="D399" t="str">
        <f t="shared" si="19"/>
        <v>"US00402D2D63"</v>
      </c>
      <c r="E399" t="str">
        <f t="shared" si="20"/>
        <v>"ADQABU 5 1/4 10/02/54": "US00402D2D63"</v>
      </c>
    </row>
    <row r="400" spans="1:5" x14ac:dyDescent="0.3">
      <c r="A400" t="s">
        <v>419</v>
      </c>
      <c r="B400" t="s">
        <v>686</v>
      </c>
      <c r="C400" t="str">
        <f t="shared" si="18"/>
        <v>"BGOSK 6 1/4 10/31/28"</v>
      </c>
      <c r="D400" t="str">
        <f t="shared" si="19"/>
        <v>"US06237MAB90"</v>
      </c>
      <c r="E400" t="str">
        <f t="shared" si="20"/>
        <v>"BGOSK 6 1/4 10/31/28": "US06237MAB90"</v>
      </c>
    </row>
    <row r="401" spans="1:5" x14ac:dyDescent="0.3">
      <c r="A401" t="s">
        <v>421</v>
      </c>
      <c r="B401" t="s">
        <v>687</v>
      </c>
      <c r="C401" t="str">
        <f t="shared" si="18"/>
        <v>"KSA 4 3/4 01/18/28"</v>
      </c>
      <c r="D401" t="str">
        <f t="shared" si="19"/>
        <v>"US80413TBC27"</v>
      </c>
      <c r="E401" t="str">
        <f t="shared" si="20"/>
        <v>"KSA 4 3/4 01/18/28": "US80413TBC27"</v>
      </c>
    </row>
    <row r="402" spans="1:5" x14ac:dyDescent="0.3">
      <c r="A402" t="s">
        <v>557</v>
      </c>
      <c r="B402" t="s">
        <v>688</v>
      </c>
      <c r="C402" t="str">
        <f t="shared" si="18"/>
        <v>"KSA 2 3/4 02/03/32"</v>
      </c>
      <c r="D402" t="str">
        <f t="shared" si="19"/>
        <v>"US80413TAQ22"</v>
      </c>
      <c r="E402" t="str">
        <f t="shared" si="20"/>
        <v>"KSA 2 3/4 02/03/32": "US80413TAQ22"</v>
      </c>
    </row>
    <row r="403" spans="1:5" x14ac:dyDescent="0.3">
      <c r="A403" t="s">
        <v>448</v>
      </c>
      <c r="B403" t="s">
        <v>689</v>
      </c>
      <c r="C403" t="str">
        <f t="shared" si="18"/>
        <v>"UAE 2 10/19/31"</v>
      </c>
      <c r="D403" t="str">
        <f t="shared" si="19"/>
        <v>"US31424EAA01"</v>
      </c>
      <c r="E403" t="str">
        <f t="shared" si="20"/>
        <v>"UAE 2 10/19/31": "US31424EAA01"</v>
      </c>
    </row>
    <row r="404" spans="1:5" x14ac:dyDescent="0.3">
      <c r="A404" t="s">
        <v>376</v>
      </c>
      <c r="B404" t="s">
        <v>690</v>
      </c>
      <c r="C404" t="str">
        <f t="shared" si="18"/>
        <v>"CDEL 5 1/8 02/02/33"</v>
      </c>
      <c r="D404" t="str">
        <f t="shared" si="19"/>
        <v>"US21987BBF40"</v>
      </c>
      <c r="E404" t="str">
        <f t="shared" si="20"/>
        <v>"CDEL 5 1/8 02/02/33": "US21987BBF40"</v>
      </c>
    </row>
    <row r="405" spans="1:5" x14ac:dyDescent="0.3">
      <c r="A405" t="s">
        <v>256</v>
      </c>
      <c r="B405" t="s">
        <v>691</v>
      </c>
      <c r="C405" t="str">
        <f t="shared" si="18"/>
        <v>"KSA 3 3/4 01/21/55"</v>
      </c>
      <c r="D405" t="str">
        <f t="shared" si="19"/>
        <v>"US80413TAR05"</v>
      </c>
      <c r="E405" t="str">
        <f t="shared" si="20"/>
        <v>"KSA 3 3/4 01/21/55": "US80413TAR05"</v>
      </c>
    </row>
    <row r="406" spans="1:5" x14ac:dyDescent="0.3">
      <c r="A406" t="s">
        <v>559</v>
      </c>
      <c r="B406" t="s">
        <v>692</v>
      </c>
      <c r="C406" t="str">
        <f t="shared" si="18"/>
        <v>"TAQAUH 4 7/8 04/23/30"</v>
      </c>
      <c r="D406" t="str">
        <f t="shared" si="19"/>
        <v>"US00388WAG69"</v>
      </c>
      <c r="E406" t="str">
        <f t="shared" si="20"/>
        <v>"TAQAUH 4 7/8 04/23/30": "US00388WAG69"</v>
      </c>
    </row>
    <row r="407" spans="1:5" x14ac:dyDescent="0.3">
      <c r="A407" t="s">
        <v>178</v>
      </c>
      <c r="B407" t="s">
        <v>693</v>
      </c>
      <c r="C407" t="str">
        <f t="shared" si="18"/>
        <v>"ROMANI 5 1/8 06/15/48"</v>
      </c>
      <c r="D407" t="str">
        <f t="shared" si="19"/>
        <v>"US77586RAF73"</v>
      </c>
      <c r="E407" t="str">
        <f t="shared" si="20"/>
        <v>"ROMANI 5 1/8 06/15/48": "US77586RAF73"</v>
      </c>
    </row>
    <row r="408" spans="1:5" x14ac:dyDescent="0.3">
      <c r="A408" t="s">
        <v>483</v>
      </c>
      <c r="B408" t="s">
        <v>694</v>
      </c>
      <c r="C408" t="str">
        <f t="shared" si="18"/>
        <v>"CDEL 4 3/8 02/05/49"</v>
      </c>
      <c r="D408" t="str">
        <f t="shared" si="19"/>
        <v>"US21987BAY48"</v>
      </c>
      <c r="E408" t="str">
        <f t="shared" si="20"/>
        <v>"CDEL 4 3/8 02/05/49": "US21987BAY48"</v>
      </c>
    </row>
    <row r="409" spans="1:5" x14ac:dyDescent="0.3">
      <c r="A409" t="s">
        <v>81</v>
      </c>
      <c r="B409" t="s">
        <v>695</v>
      </c>
      <c r="C409" t="str">
        <f t="shared" si="18"/>
        <v>"ROMANI 6 1/8 01/22/44"</v>
      </c>
      <c r="D409" t="str">
        <f t="shared" si="19"/>
        <v>"US77586RAC43"</v>
      </c>
      <c r="E409" t="str">
        <f t="shared" si="20"/>
        <v>"ROMANI 6 1/8 01/22/44": "US77586RAC43"</v>
      </c>
    </row>
    <row r="410" spans="1:5" x14ac:dyDescent="0.3">
      <c r="A410" t="s">
        <v>460</v>
      </c>
      <c r="B410" t="s">
        <v>696</v>
      </c>
      <c r="C410" t="str">
        <f t="shared" si="18"/>
        <v>"CFELEC 6 1/8 06/16/45"</v>
      </c>
      <c r="D410" t="str">
        <f t="shared" si="19"/>
        <v>"US200447AE01"</v>
      </c>
      <c r="E410" t="str">
        <f t="shared" si="20"/>
        <v>"CFELEC 6 1/8 06/16/45": "US200447AE01"</v>
      </c>
    </row>
    <row r="411" spans="1:5" x14ac:dyDescent="0.3">
      <c r="A411" t="s">
        <v>454</v>
      </c>
      <c r="B411" t="s">
        <v>697</v>
      </c>
      <c r="C411" t="str">
        <f t="shared" si="18"/>
        <v>"TAQAUH 4 3/8 06/22/26"</v>
      </c>
      <c r="D411" t="str">
        <f t="shared" si="19"/>
        <v>"US00388WAC55"</v>
      </c>
      <c r="E411" t="str">
        <f t="shared" si="20"/>
        <v>"TAQAUH 4 3/8 06/22/26": "US00388WAC55"</v>
      </c>
    </row>
    <row r="412" spans="1:5" x14ac:dyDescent="0.3">
      <c r="A412" t="s">
        <v>165</v>
      </c>
      <c r="B412" t="s">
        <v>698</v>
      </c>
      <c r="C412" t="str">
        <f t="shared" si="18"/>
        <v>"KSA 5 3/8 01/13/31"</v>
      </c>
      <c r="D412" t="str">
        <f t="shared" si="19"/>
        <v>"US80413TBK43"</v>
      </c>
      <c r="E412" t="str">
        <f t="shared" si="20"/>
        <v>"KSA 5 3/8 01/13/31": "US80413TBK43"</v>
      </c>
    </row>
    <row r="413" spans="1:5" x14ac:dyDescent="0.3">
      <c r="A413" t="s">
        <v>129</v>
      </c>
      <c r="B413" t="s">
        <v>699</v>
      </c>
      <c r="C413" t="str">
        <f t="shared" si="18"/>
        <v>"ADGB 4 7/8 04/30/29"</v>
      </c>
      <c r="D413" t="str">
        <f t="shared" si="19"/>
        <v>"US29135LAS97"</v>
      </c>
      <c r="E413" t="str">
        <f t="shared" si="20"/>
        <v>"ADGB 4 7/8 04/30/29": "US29135LAS97"</v>
      </c>
    </row>
    <row r="414" spans="1:5" x14ac:dyDescent="0.3">
      <c r="A414" t="s">
        <v>295</v>
      </c>
      <c r="B414" t="s">
        <v>700</v>
      </c>
      <c r="C414" t="str">
        <f t="shared" si="18"/>
        <v>"ADGB 2.7 09/02/70"</v>
      </c>
      <c r="D414" t="str">
        <f t="shared" si="19"/>
        <v>"US29135LAN01"</v>
      </c>
      <c r="E414" t="str">
        <f t="shared" si="20"/>
        <v>"ADGB 2.7 09/02/70": "US29135LAN01"</v>
      </c>
    </row>
    <row r="415" spans="1:5" x14ac:dyDescent="0.3">
      <c r="A415" t="s">
        <v>544</v>
      </c>
      <c r="B415" t="s">
        <v>701</v>
      </c>
      <c r="C415" t="str">
        <f t="shared" si="18"/>
        <v>"CDEL 3.15 01/14/30"</v>
      </c>
      <c r="D415" t="str">
        <f t="shared" si="19"/>
        <v>"US21987BBB36"</v>
      </c>
      <c r="E415" t="str">
        <f t="shared" si="20"/>
        <v>"CDEL 3.15 01/14/30": "US21987BBB36"</v>
      </c>
    </row>
    <row r="416" spans="1:5" x14ac:dyDescent="0.3">
      <c r="A416" t="s">
        <v>491</v>
      </c>
      <c r="B416" t="s">
        <v>702</v>
      </c>
      <c r="C416" t="str">
        <f t="shared" si="18"/>
        <v>"KSA 2 1/2 02/03/27"</v>
      </c>
      <c r="D416" t="str">
        <f t="shared" si="19"/>
        <v>"US80413TAP49"</v>
      </c>
      <c r="E416" t="str">
        <f t="shared" si="20"/>
        <v>"KSA 2 1/2 02/03/27": "US80413TAP49"</v>
      </c>
    </row>
    <row r="417" spans="1:5" x14ac:dyDescent="0.3">
      <c r="A417" t="s">
        <v>119</v>
      </c>
      <c r="B417" t="s">
        <v>703</v>
      </c>
      <c r="C417" t="str">
        <f t="shared" si="18"/>
        <v>"ARAMCO 4 1/4 04/16/39"</v>
      </c>
      <c r="D417" t="str">
        <f t="shared" si="19"/>
        <v>"US80414L2E48"</v>
      </c>
      <c r="E417" t="str">
        <f t="shared" si="20"/>
        <v>"ARAMCO 4 1/4 04/16/39": "US80414L2E48"</v>
      </c>
    </row>
    <row r="418" spans="1:5" x14ac:dyDescent="0.3">
      <c r="A418" t="s">
        <v>204</v>
      </c>
      <c r="B418" t="s">
        <v>704</v>
      </c>
      <c r="C418" t="str">
        <f t="shared" si="18"/>
        <v>"KSA 3 5/8 03/04/28"</v>
      </c>
      <c r="D418" t="str">
        <f t="shared" si="19"/>
        <v>"US80413TAE91"</v>
      </c>
      <c r="E418" t="str">
        <f t="shared" si="20"/>
        <v>"KSA 3 5/8 03/04/28": "US80413TAE91"</v>
      </c>
    </row>
    <row r="419" spans="1:5" x14ac:dyDescent="0.3">
      <c r="A419" t="s">
        <v>283</v>
      </c>
      <c r="B419" t="s">
        <v>705</v>
      </c>
      <c r="C419" t="str">
        <f t="shared" si="18"/>
        <v>"KSA 4 1/2 04/22/60"</v>
      </c>
      <c r="D419" t="str">
        <f t="shared" si="19"/>
        <v>"US80413TAU34"</v>
      </c>
      <c r="E419" t="str">
        <f t="shared" si="20"/>
        <v>"KSA 4 1/2 04/22/60": "US80413TAU34"</v>
      </c>
    </row>
    <row r="420" spans="1:5" x14ac:dyDescent="0.3">
      <c r="A420" t="s">
        <v>364</v>
      </c>
      <c r="B420" t="s">
        <v>706</v>
      </c>
      <c r="C420" t="str">
        <f t="shared" si="18"/>
        <v>"KSA 3 1/4 10/22/30"</v>
      </c>
      <c r="D420" t="str">
        <f t="shared" si="19"/>
        <v>"US80413TAT60"</v>
      </c>
      <c r="E420" t="str">
        <f t="shared" si="20"/>
        <v>"KSA 3 1/4 10/22/30": "US80413TAT60"</v>
      </c>
    </row>
    <row r="421" spans="1:5" x14ac:dyDescent="0.3">
      <c r="A421" t="s">
        <v>220</v>
      </c>
      <c r="B421" t="s">
        <v>707</v>
      </c>
      <c r="C421" t="str">
        <f t="shared" si="18"/>
        <v>"ARAMCO 3 1/2 11/24/70"</v>
      </c>
      <c r="D421" t="str">
        <f t="shared" si="19"/>
        <v>"US80414L2M63"</v>
      </c>
      <c r="E421" t="str">
        <f t="shared" si="20"/>
        <v>"ARAMCO 3 1/2 11/24/70": "US80414L2M63"</v>
      </c>
    </row>
    <row r="422" spans="1:5" x14ac:dyDescent="0.3">
      <c r="A422" t="s">
        <v>202</v>
      </c>
      <c r="B422" t="s">
        <v>708</v>
      </c>
      <c r="C422" t="str">
        <f t="shared" si="18"/>
        <v>"ADGB 3 1/8 09/30/49"</v>
      </c>
      <c r="D422" t="str">
        <f t="shared" si="19"/>
        <v>"US29135LAF76"</v>
      </c>
      <c r="E422" t="str">
        <f t="shared" si="20"/>
        <v>"ADGB 3 1/8 09/30/49": "US29135LAF76"</v>
      </c>
    </row>
    <row r="423" spans="1:5" x14ac:dyDescent="0.3">
      <c r="A423" t="s">
        <v>250</v>
      </c>
      <c r="B423" t="s">
        <v>709</v>
      </c>
      <c r="C423" t="str">
        <f t="shared" si="18"/>
        <v>"KSA 4 5/8 10/04/47"</v>
      </c>
      <c r="D423" t="str">
        <f t="shared" si="19"/>
        <v>"US80413TAF66"</v>
      </c>
      <c r="E423" t="str">
        <f t="shared" si="20"/>
        <v>"KSA 4 5/8 10/04/47": "US80413TAF66"</v>
      </c>
    </row>
    <row r="424" spans="1:5" x14ac:dyDescent="0.3">
      <c r="A424" t="s">
        <v>238</v>
      </c>
      <c r="B424" t="s">
        <v>710</v>
      </c>
      <c r="C424" t="str">
        <f t="shared" si="18"/>
        <v>"KSA 4 3/8 04/16/29"</v>
      </c>
      <c r="D424" t="str">
        <f t="shared" si="19"/>
        <v>"US80413TAK51"</v>
      </c>
      <c r="E424" t="str">
        <f t="shared" si="20"/>
        <v>"KSA 4 3/8 04/16/29": "US80413TAK51"</v>
      </c>
    </row>
    <row r="425" spans="1:5" x14ac:dyDescent="0.3">
      <c r="A425" t="s">
        <v>228</v>
      </c>
      <c r="B425" t="s">
        <v>711</v>
      </c>
      <c r="C425" t="str">
        <f t="shared" si="18"/>
        <v>"ADGB 3 1/8 04/16/30"</v>
      </c>
      <c r="D425" t="str">
        <f t="shared" si="19"/>
        <v>"US29135LAH33"</v>
      </c>
      <c r="E425" t="str">
        <f t="shared" si="20"/>
        <v>"ADGB 3 1/8 04/16/30": "US29135LAH33"</v>
      </c>
    </row>
    <row r="426" spans="1:5" x14ac:dyDescent="0.3">
      <c r="A426" t="s">
        <v>254</v>
      </c>
      <c r="B426" t="s">
        <v>712</v>
      </c>
      <c r="C426" t="str">
        <f t="shared" si="18"/>
        <v>"ARAMCO 3 1/4 11/24/50"</v>
      </c>
      <c r="D426" t="str">
        <f t="shared" si="19"/>
        <v>"US80414L2L80"</v>
      </c>
      <c r="E426" t="str">
        <f t="shared" si="20"/>
        <v>"ARAMCO 3 1/4 11/24/50": "US80414L2L80"</v>
      </c>
    </row>
    <row r="427" spans="1:5" x14ac:dyDescent="0.3">
      <c r="A427" t="s">
        <v>489</v>
      </c>
      <c r="B427" t="s">
        <v>713</v>
      </c>
      <c r="C427" t="str">
        <f t="shared" si="18"/>
        <v>"TAQAUH 2 04/29/28"</v>
      </c>
      <c r="D427" t="str">
        <f t="shared" si="19"/>
        <v>"US00388WAJ09"</v>
      </c>
      <c r="E427" t="str">
        <f t="shared" si="20"/>
        <v>"TAQAUH 2 04/29/28": "US00388WAJ09"</v>
      </c>
    </row>
    <row r="428" spans="1:5" x14ac:dyDescent="0.3">
      <c r="A428" t="s">
        <v>507</v>
      </c>
      <c r="B428" t="s">
        <v>714</v>
      </c>
      <c r="C428" t="str">
        <f t="shared" si="18"/>
        <v>"UAE 4.05 07/07/32"</v>
      </c>
      <c r="D428" t="str">
        <f t="shared" si="19"/>
        <v>"US31424EAD40"</v>
      </c>
      <c r="E428" t="str">
        <f t="shared" si="20"/>
        <v>"UAE 4.05 07/07/32": "US31424EAD40"</v>
      </c>
    </row>
    <row r="429" spans="1:5" x14ac:dyDescent="0.3">
      <c r="A429" t="s">
        <v>536</v>
      </c>
      <c r="B429" t="s">
        <v>715</v>
      </c>
      <c r="C429" t="str">
        <f t="shared" si="18"/>
        <v>"QATAR 5 3/4 01/20/42"</v>
      </c>
      <c r="D429" t="str">
        <f t="shared" si="19"/>
        <v>"US74727PAR29"</v>
      </c>
      <c r="E429" t="str">
        <f t="shared" si="20"/>
        <v>"QATAR 5 3/4 01/20/42": "US74727PAR29"</v>
      </c>
    </row>
    <row r="430" spans="1:5" x14ac:dyDescent="0.3">
      <c r="A430" t="s">
        <v>546</v>
      </c>
      <c r="B430" t="s">
        <v>716</v>
      </c>
      <c r="C430" t="str">
        <f t="shared" si="18"/>
        <v>"CDEL 5 5/8 10/18/43"</v>
      </c>
      <c r="D430" t="str">
        <f t="shared" si="19"/>
        <v>"US21987BAT52"</v>
      </c>
      <c r="E430" t="str">
        <f t="shared" si="20"/>
        <v>"CDEL 5 5/8 10/18/43": "US21987BAT52"</v>
      </c>
    </row>
    <row r="431" spans="1:5" x14ac:dyDescent="0.3">
      <c r="A431" t="s">
        <v>192</v>
      </c>
      <c r="B431" t="s">
        <v>717</v>
      </c>
      <c r="C431" t="str">
        <f t="shared" si="18"/>
        <v>"QATAR 4 7/8 02/27/35"</v>
      </c>
      <c r="D431" t="str">
        <f t="shared" si="19"/>
        <v>"US74738PUJ55"</v>
      </c>
      <c r="E431" t="str">
        <f t="shared" si="20"/>
        <v>"QATAR 4 7/8 02/27/35": "US74738PUJ55"</v>
      </c>
    </row>
    <row r="432" spans="1:5" x14ac:dyDescent="0.3">
      <c r="A432" t="s">
        <v>198</v>
      </c>
      <c r="B432" t="s">
        <v>718</v>
      </c>
      <c r="C432" t="str">
        <f t="shared" si="18"/>
        <v>"TAQAUH 4 3/8 10/09/31"</v>
      </c>
      <c r="D432" t="str">
        <f t="shared" si="19"/>
        <v>"US00388WAQ42"</v>
      </c>
      <c r="E432" t="str">
        <f t="shared" si="20"/>
        <v>"TAQAUH 4 3/8 10/09/31": "US00388WAQ42"</v>
      </c>
    </row>
    <row r="433" spans="1:5" x14ac:dyDescent="0.3">
      <c r="A433" t="s">
        <v>437</v>
      </c>
      <c r="B433" t="s">
        <v>719</v>
      </c>
      <c r="C433" t="str">
        <f t="shared" si="18"/>
        <v>"MUBAUH 4 3/8 11/22/33"</v>
      </c>
      <c r="D433" t="str">
        <f t="shared" si="19"/>
        <v>"US55285GAD60"</v>
      </c>
      <c r="E433" t="str">
        <f t="shared" si="20"/>
        <v>"MUBAUH 4 3/8 11/22/33": "US55285GAD60"</v>
      </c>
    </row>
    <row r="434" spans="1:5" x14ac:dyDescent="0.3">
      <c r="A434" t="s">
        <v>517</v>
      </c>
      <c r="B434" t="s">
        <v>720</v>
      </c>
      <c r="C434" t="str">
        <f t="shared" si="18"/>
        <v>"CDEL 3 09/30/29"</v>
      </c>
      <c r="D434" t="str">
        <f t="shared" si="19"/>
        <v>"US21987BAZ13"</v>
      </c>
      <c r="E434" t="str">
        <f t="shared" si="20"/>
        <v>"CDEL 3 09/30/29": "US21987BAZ13"</v>
      </c>
    </row>
    <row r="435" spans="1:5" x14ac:dyDescent="0.3">
      <c r="A435" t="s">
        <v>157</v>
      </c>
      <c r="B435" t="s">
        <v>721</v>
      </c>
      <c r="C435" t="str">
        <f t="shared" si="18"/>
        <v>"KSA 5 04/17/49"</v>
      </c>
      <c r="D435" t="str">
        <f t="shared" si="19"/>
        <v>"US80413TAJ88"</v>
      </c>
      <c r="E435" t="str">
        <f t="shared" si="20"/>
        <v>"KSA 5 04/17/49": "US80413TAJ88"</v>
      </c>
    </row>
    <row r="436" spans="1:5" x14ac:dyDescent="0.3">
      <c r="A436" t="s">
        <v>109</v>
      </c>
      <c r="B436" t="s">
        <v>722</v>
      </c>
      <c r="C436" t="str">
        <f t="shared" si="18"/>
        <v>"ROMANI 4 02/14/51"</v>
      </c>
      <c r="D436" t="str">
        <f t="shared" si="19"/>
        <v>"US77586RAJ95"</v>
      </c>
      <c r="E436" t="str">
        <f t="shared" si="20"/>
        <v>"ROMANI 4 02/14/51": "US77586RAJ95"</v>
      </c>
    </row>
    <row r="437" spans="1:5" x14ac:dyDescent="0.3">
      <c r="A437" t="s">
        <v>370</v>
      </c>
      <c r="B437" t="s">
        <v>723</v>
      </c>
      <c r="C437" t="str">
        <f t="shared" si="18"/>
        <v>"ADGB 1 7/8 09/15/31"</v>
      </c>
      <c r="D437" t="str">
        <f t="shared" si="19"/>
        <v>"US29135LAQ32"</v>
      </c>
      <c r="E437" t="str">
        <f t="shared" si="20"/>
        <v>"ADGB 1 7/8 09/15/31": "US29135LAQ32"</v>
      </c>
    </row>
    <row r="438" spans="1:5" x14ac:dyDescent="0.3">
      <c r="A438" t="s">
        <v>497</v>
      </c>
      <c r="B438" t="s">
        <v>724</v>
      </c>
      <c r="C438" t="str">
        <f t="shared" si="18"/>
        <v>"TAQAUH 6 1/2 10/27/36"</v>
      </c>
      <c r="D438" t="str">
        <f t="shared" si="19"/>
        <v>"US00386SAB88"</v>
      </c>
      <c r="E438" t="str">
        <f t="shared" si="20"/>
        <v>"TAQAUH 6 1/2 10/27/36": "US00386SAB88"</v>
      </c>
    </row>
    <row r="439" spans="1:5" x14ac:dyDescent="0.3">
      <c r="A439" t="s">
        <v>619</v>
      </c>
      <c r="B439" t="s">
        <v>725</v>
      </c>
      <c r="C439" t="str">
        <f t="shared" si="18"/>
        <v>"CDEL 4 7/8 11/04/44"</v>
      </c>
      <c r="D439" t="str">
        <f t="shared" si="19"/>
        <v>"US21987BAU26"</v>
      </c>
      <c r="E439" t="str">
        <f t="shared" si="20"/>
        <v>"CDEL 4 7/8 11/04/44": "US21987BAU26"</v>
      </c>
    </row>
    <row r="440" spans="1:5" x14ac:dyDescent="0.3">
      <c r="A440" t="s">
        <v>727</v>
      </c>
      <c r="B440" t="s">
        <v>726</v>
      </c>
      <c r="C440" t="str">
        <f t="shared" si="18"/>
        <v>"CFELEC 5.15 07/13/47"</v>
      </c>
      <c r="D440" t="str">
        <f t="shared" si="19"/>
        <v>"XS1638817996"</v>
      </c>
      <c r="E440" t="str">
        <f t="shared" si="20"/>
        <v>"CFELEC 5.15 07/13/47": "XS1638817996"</v>
      </c>
    </row>
    <row r="441" spans="1:5" x14ac:dyDescent="0.3">
      <c r="A441" t="s">
        <v>428</v>
      </c>
      <c r="B441" t="s">
        <v>728</v>
      </c>
      <c r="C441" t="str">
        <f t="shared" si="18"/>
        <v>"CDEL 3 5/8 08/01/27"</v>
      </c>
      <c r="D441" t="str">
        <f t="shared" si="19"/>
        <v>"US21987BAW81"</v>
      </c>
      <c r="E441" t="str">
        <f t="shared" si="20"/>
        <v>"CDEL 3 5/8 08/01/27": "US21987BAW81"</v>
      </c>
    </row>
    <row r="442" spans="1:5" x14ac:dyDescent="0.3">
      <c r="A442" t="s">
        <v>236</v>
      </c>
      <c r="B442" t="s">
        <v>729</v>
      </c>
      <c r="C442" t="str">
        <f t="shared" si="18"/>
        <v>"KSA 4 1/2 04/17/30"</v>
      </c>
      <c r="D442" t="str">
        <f t="shared" si="19"/>
        <v>"US80413TAH23"</v>
      </c>
      <c r="E442" t="str">
        <f t="shared" si="20"/>
        <v>"KSA 4 1/2 04/17/30": "US80413TAH23"</v>
      </c>
    </row>
    <row r="443" spans="1:5" x14ac:dyDescent="0.3">
      <c r="A443" t="s">
        <v>731</v>
      </c>
      <c r="B443" t="s">
        <v>730</v>
      </c>
      <c r="C443" t="str">
        <f t="shared" si="18"/>
        <v>"CDEL 4.85 05/18/48"</v>
      </c>
      <c r="D443" t="str">
        <f t="shared" si="19"/>
        <v>"XS1798294523"</v>
      </c>
      <c r="E443" t="str">
        <f t="shared" si="20"/>
        <v>"CDEL 4.85 05/18/48": "XS1798294523"</v>
      </c>
    </row>
    <row r="444" spans="1:5" x14ac:dyDescent="0.3">
      <c r="A444" t="s">
        <v>380</v>
      </c>
      <c r="B444" t="s">
        <v>732</v>
      </c>
      <c r="C444" t="str">
        <f t="shared" si="18"/>
        <v>"ADGB 3 09/15/51"</v>
      </c>
      <c r="D444" t="str">
        <f t="shared" si="19"/>
        <v>"US29135LAR15"</v>
      </c>
      <c r="E444" t="str">
        <f t="shared" si="20"/>
        <v>"ADGB 3 09/15/51": "US29135LAR15"</v>
      </c>
    </row>
    <row r="445" spans="1:5" x14ac:dyDescent="0.3">
      <c r="A445" t="s">
        <v>430</v>
      </c>
      <c r="B445" t="s">
        <v>733</v>
      </c>
      <c r="C445" t="str">
        <f t="shared" si="18"/>
        <v>"KSA 3 1/4 11/17/51"</v>
      </c>
      <c r="D445" t="str">
        <f t="shared" si="19"/>
        <v>"US80413TAZ21"</v>
      </c>
      <c r="E445" t="str">
        <f t="shared" si="20"/>
        <v>"KSA 3 1/4 11/17/51": "US80413TAZ21"</v>
      </c>
    </row>
    <row r="446" spans="1:5" x14ac:dyDescent="0.3">
      <c r="A446" t="s">
        <v>452</v>
      </c>
      <c r="B446" t="s">
        <v>734</v>
      </c>
      <c r="C446" t="str">
        <f t="shared" si="18"/>
        <v>"KSA 5 1/2 10/25/32"</v>
      </c>
      <c r="D446" t="str">
        <f t="shared" si="19"/>
        <v>"US80413TBA60"</v>
      </c>
      <c r="E446" t="str">
        <f t="shared" si="20"/>
        <v>"KSA 5 1/2 10/25/32": "US80413TBA60"</v>
      </c>
    </row>
    <row r="447" spans="1:5" x14ac:dyDescent="0.3">
      <c r="A447" t="s">
        <v>522</v>
      </c>
      <c r="B447" t="s">
        <v>735</v>
      </c>
      <c r="C447" t="str">
        <f t="shared" si="18"/>
        <v>"MUBAUH 6 7/8 11/01/41"</v>
      </c>
      <c r="D447" t="str">
        <f t="shared" si="19"/>
        <v>"US44985GAE17"</v>
      </c>
      <c r="E447" t="str">
        <f t="shared" si="20"/>
        <v>"MUBAUH 6 7/8 11/01/41": "US44985GAE17"</v>
      </c>
    </row>
    <row r="448" spans="1:5" x14ac:dyDescent="0.3">
      <c r="A448" t="s">
        <v>368</v>
      </c>
      <c r="B448" t="s">
        <v>736</v>
      </c>
      <c r="C448" t="str">
        <f t="shared" si="18"/>
        <v>"ADQABU 5 05/06/35"</v>
      </c>
      <c r="D448" t="str">
        <f t="shared" si="19"/>
        <v>"US00402AAB70"</v>
      </c>
      <c r="E448" t="str">
        <f t="shared" si="20"/>
        <v>"ADQABU 5 05/06/35": "US00402AAB70"</v>
      </c>
    </row>
    <row r="449" spans="1:5" x14ac:dyDescent="0.3">
      <c r="A449" t="s">
        <v>135</v>
      </c>
      <c r="B449" t="s">
        <v>737</v>
      </c>
      <c r="C449" t="str">
        <f t="shared" si="18"/>
        <v>"ADQABU 5 3/8 05/08/29"</v>
      </c>
      <c r="D449" t="str">
        <f t="shared" si="19"/>
        <v>"US00402D2A25"</v>
      </c>
      <c r="E449" t="str">
        <f t="shared" si="20"/>
        <v>"ADQABU 5 3/8 05/08/29": "US00402D2A25"</v>
      </c>
    </row>
    <row r="450" spans="1:5" x14ac:dyDescent="0.3">
      <c r="A450" t="s">
        <v>406</v>
      </c>
      <c r="B450" t="s">
        <v>738</v>
      </c>
      <c r="C450" t="str">
        <f t="shared" ref="C450:C477" si="21">""""&amp;A450&amp;""""</f>
        <v>"MUBAUH 5 7/8 05/01/34"</v>
      </c>
      <c r="D450" t="str">
        <f t="shared" ref="D450:D477" si="22">""""&amp;B450&amp;""""</f>
        <v>"US55285GAE44"</v>
      </c>
      <c r="E450" t="str">
        <f t="shared" ref="E450:E477" si="23">C450&amp;": "&amp;D450</f>
        <v>"MUBAUH 5 7/8 05/01/34": "US55285GAE44"</v>
      </c>
    </row>
    <row r="451" spans="1:5" x14ac:dyDescent="0.3">
      <c r="A451" t="s">
        <v>416</v>
      </c>
      <c r="B451" t="s">
        <v>739</v>
      </c>
      <c r="C451" t="str">
        <f t="shared" si="21"/>
        <v>"MUBAUH 2 7/8 11/07/29"</v>
      </c>
      <c r="D451" t="str">
        <f t="shared" si="22"/>
        <v>"US55276VAJ17"</v>
      </c>
      <c r="E451" t="str">
        <f t="shared" si="23"/>
        <v>"MUBAUH 2 7/8 11/07/29": "US55276VAJ17"</v>
      </c>
    </row>
    <row r="452" spans="1:5" x14ac:dyDescent="0.3">
      <c r="A452" t="s">
        <v>472</v>
      </c>
      <c r="B452" t="s">
        <v>740</v>
      </c>
      <c r="C452" t="str">
        <f t="shared" si="21"/>
        <v>"ADGB 2 1/2 09/30/29"</v>
      </c>
      <c r="D452" t="str">
        <f t="shared" si="22"/>
        <v>"US29135LAE02"</v>
      </c>
      <c r="E452" t="str">
        <f t="shared" si="23"/>
        <v>"ADGB 2 1/2 09/30/29": "US29135LAE02"</v>
      </c>
    </row>
    <row r="453" spans="1:5" x14ac:dyDescent="0.3">
      <c r="A453" t="s">
        <v>596</v>
      </c>
      <c r="B453" t="s">
        <v>741</v>
      </c>
      <c r="C453" t="str">
        <f t="shared" si="21"/>
        <v>"CDEL 4 1/2 08/01/47"</v>
      </c>
      <c r="D453" t="str">
        <f t="shared" si="22"/>
        <v>"US21987BAX64"</v>
      </c>
      <c r="E453" t="str">
        <f t="shared" si="23"/>
        <v>"CDEL 4 1/2 08/01/47": "US21987BAX64"</v>
      </c>
    </row>
    <row r="454" spans="1:5" x14ac:dyDescent="0.3">
      <c r="A454" t="s">
        <v>317</v>
      </c>
      <c r="B454" t="s">
        <v>742</v>
      </c>
      <c r="C454" t="str">
        <f t="shared" si="21"/>
        <v>"ADGB 3 1/8 10/11/27"</v>
      </c>
      <c r="D454" t="str">
        <f t="shared" si="22"/>
        <v>"US29135LAA89"</v>
      </c>
      <c r="E454" t="str">
        <f t="shared" si="23"/>
        <v>"ADGB 3 1/8 10/11/27": "US29135LAA89"</v>
      </c>
    </row>
    <row r="455" spans="1:5" x14ac:dyDescent="0.3">
      <c r="A455" t="s">
        <v>586</v>
      </c>
      <c r="B455" t="s">
        <v>743</v>
      </c>
      <c r="C455" t="str">
        <f t="shared" si="21"/>
        <v>"MUBAUH 4 1/2 11/07/28"</v>
      </c>
      <c r="D455" t="str">
        <f t="shared" si="22"/>
        <v>"US55276VAG77"</v>
      </c>
      <c r="E455" t="str">
        <f t="shared" si="23"/>
        <v>"MUBAUH 4 1/2 11/07/28": "US55276VAG77"</v>
      </c>
    </row>
    <row r="456" spans="1:5" x14ac:dyDescent="0.3">
      <c r="A456" t="s">
        <v>386</v>
      </c>
      <c r="B456" t="s">
        <v>744</v>
      </c>
      <c r="C456" t="str">
        <f t="shared" si="21"/>
        <v>"ADGB 1 5/8 06/02/28"</v>
      </c>
      <c r="D456" t="str">
        <f t="shared" si="22"/>
        <v>"US29135LAP58"</v>
      </c>
      <c r="E456" t="str">
        <f t="shared" si="23"/>
        <v>"ADGB 1 5/8 06/02/28": "US29135LAP58"</v>
      </c>
    </row>
    <row r="457" spans="1:5" x14ac:dyDescent="0.3">
      <c r="A457" t="s">
        <v>530</v>
      </c>
      <c r="B457" t="s">
        <v>745</v>
      </c>
      <c r="C457" t="str">
        <f t="shared" si="21"/>
        <v>"UAE 3 1/4 10/19/61"</v>
      </c>
      <c r="D457" t="str">
        <f t="shared" si="22"/>
        <v>"US31424EAB83"</v>
      </c>
      <c r="E457" t="str">
        <f t="shared" si="23"/>
        <v>"UAE 3 1/4 10/19/61": "US31424EAB83"</v>
      </c>
    </row>
    <row r="458" spans="1:5" x14ac:dyDescent="0.3">
      <c r="A458" t="s">
        <v>402</v>
      </c>
      <c r="B458" t="s">
        <v>746</v>
      </c>
      <c r="C458" t="str">
        <f t="shared" si="21"/>
        <v>"ROMANI 3 5/8 03/27/32"</v>
      </c>
      <c r="D458" t="str">
        <f t="shared" si="22"/>
        <v>"US77586RAL42"</v>
      </c>
      <c r="E458" t="str">
        <f t="shared" si="23"/>
        <v>"ROMANI 3 5/8 03/27/32": "US77586RAL42"</v>
      </c>
    </row>
    <row r="459" spans="1:5" x14ac:dyDescent="0.3">
      <c r="A459" t="s">
        <v>564</v>
      </c>
      <c r="B459" t="s">
        <v>747</v>
      </c>
      <c r="C459" t="str">
        <f t="shared" si="21"/>
        <v>"MUBAUH 5 1/2 04/28/33"</v>
      </c>
      <c r="D459" t="str">
        <f t="shared" si="22"/>
        <v>"US55285GAB05"</v>
      </c>
      <c r="E459" t="str">
        <f t="shared" si="23"/>
        <v>"MUBAUH 5 1/2 04/28/33": "US55285GAB05"</v>
      </c>
    </row>
    <row r="460" spans="1:5" x14ac:dyDescent="0.3">
      <c r="A460" t="s">
        <v>396</v>
      </c>
      <c r="B460" t="s">
        <v>748</v>
      </c>
      <c r="C460" t="str">
        <f t="shared" si="21"/>
        <v>"QATAR 6.4 01/20/40"</v>
      </c>
      <c r="D460" t="str">
        <f t="shared" si="22"/>
        <v>"US74727PAL58"</v>
      </c>
      <c r="E460" t="str">
        <f t="shared" si="23"/>
        <v>"QATAR 6.4 01/20/40": "US74727PAL58"</v>
      </c>
    </row>
    <row r="461" spans="1:5" x14ac:dyDescent="0.3">
      <c r="A461" t="s">
        <v>269</v>
      </c>
      <c r="B461" t="s">
        <v>749</v>
      </c>
      <c r="C461" t="str">
        <f t="shared" si="21"/>
        <v>"ADQABU 5 1/2 05/08/34"</v>
      </c>
      <c r="D461" t="str">
        <f t="shared" si="22"/>
        <v>"US00402D2B08"</v>
      </c>
      <c r="E461" t="str">
        <f t="shared" si="23"/>
        <v>"ADQABU 5 1/2 05/08/34": "US00402D2B08"</v>
      </c>
    </row>
    <row r="462" spans="1:5" x14ac:dyDescent="0.3">
      <c r="A462" t="s">
        <v>372</v>
      </c>
      <c r="B462" t="s">
        <v>750</v>
      </c>
      <c r="C462" t="str">
        <f t="shared" si="21"/>
        <v>"UAE 4.917 09/25/33"</v>
      </c>
      <c r="D462" t="str">
        <f t="shared" si="22"/>
        <v>"US909378AA95"</v>
      </c>
      <c r="E462" t="str">
        <f t="shared" si="23"/>
        <v>"UAE 4.917 09/25/33": "US909378AA95"</v>
      </c>
    </row>
    <row r="463" spans="1:5" x14ac:dyDescent="0.3">
      <c r="A463" t="s">
        <v>347</v>
      </c>
      <c r="B463" t="s">
        <v>751</v>
      </c>
      <c r="C463" t="str">
        <f t="shared" si="21"/>
        <v>"MUBAUH 3.7 11/07/49"</v>
      </c>
      <c r="D463" t="str">
        <f t="shared" si="22"/>
        <v>"US55276VAK89"</v>
      </c>
      <c r="E463" t="str">
        <f t="shared" si="23"/>
        <v>"MUBAUH 3.7 11/07/49": "US55276VAK89"</v>
      </c>
    </row>
    <row r="464" spans="1:5" x14ac:dyDescent="0.3">
      <c r="A464" t="s">
        <v>753</v>
      </c>
      <c r="B464" t="s">
        <v>752</v>
      </c>
      <c r="C464" t="str">
        <f t="shared" si="21"/>
        <v>"VALEBZ 6 02/25/56"</v>
      </c>
      <c r="D464" t="str">
        <f t="shared" si="22"/>
        <v>"US91911TAT07"</v>
      </c>
      <c r="E464" t="str">
        <f t="shared" si="23"/>
        <v>"VALEBZ 6 02/25/56": "US91911TAT07"</v>
      </c>
    </row>
    <row r="465" spans="1:5" x14ac:dyDescent="0.3">
      <c r="A465" t="s">
        <v>753</v>
      </c>
      <c r="B465" t="s">
        <v>754</v>
      </c>
      <c r="C465" t="str">
        <f t="shared" si="21"/>
        <v>"VALEBZ 6 02/25/56"</v>
      </c>
      <c r="D465" t="str">
        <f t="shared" si="22"/>
        <v>"USG9317UAD75"</v>
      </c>
      <c r="E465" t="str">
        <f t="shared" si="23"/>
        <v>"VALEBZ 6 02/25/56": "USG9317UAD75"</v>
      </c>
    </row>
    <row r="466" spans="1:5" x14ac:dyDescent="0.3">
      <c r="A466" t="s">
        <v>756</v>
      </c>
      <c r="B466" t="s">
        <v>755</v>
      </c>
      <c r="C466" t="str">
        <f t="shared" si="21"/>
        <v>"QATAR 3 5/8 11/10/28"</v>
      </c>
      <c r="D466" t="str">
        <f t="shared" si="22"/>
        <v>"XS3216220544"</v>
      </c>
      <c r="E466" t="str">
        <f t="shared" si="23"/>
        <v>"QATAR 3 5/8 11/10/28": "XS3216220544"</v>
      </c>
    </row>
    <row r="467" spans="1:5" x14ac:dyDescent="0.3">
      <c r="A467" t="s">
        <v>756</v>
      </c>
      <c r="B467" t="s">
        <v>757</v>
      </c>
      <c r="C467" t="str">
        <f t="shared" si="21"/>
        <v>"QATAR 3 5/8 11/10/28"</v>
      </c>
      <c r="D467" t="str">
        <f t="shared" si="22"/>
        <v>"US74738PZ506"</v>
      </c>
      <c r="E467" t="str">
        <f t="shared" si="23"/>
        <v>"QATAR 3 5/8 11/10/28": "US74738PZ506"</v>
      </c>
    </row>
    <row r="468" spans="1:5" x14ac:dyDescent="0.3">
      <c r="A468" t="s">
        <v>759</v>
      </c>
      <c r="B468" t="s">
        <v>758</v>
      </c>
      <c r="C468" t="str">
        <f t="shared" si="21"/>
        <v>"MEX 4 3/4 03/22/31"</v>
      </c>
      <c r="D468" t="str">
        <f t="shared" si="22"/>
        <v>"US91087BBJ89"</v>
      </c>
      <c r="E468" t="str">
        <f t="shared" si="23"/>
        <v>"MEX 4 3/4 03/22/31": "US91087BBJ89"</v>
      </c>
    </row>
    <row r="469" spans="1:5" x14ac:dyDescent="0.3">
      <c r="A469" t="s">
        <v>761</v>
      </c>
      <c r="B469" t="s">
        <v>760</v>
      </c>
      <c r="C469" t="str">
        <f t="shared" si="21"/>
        <v>"MEX 5 3/8 03/22/33"</v>
      </c>
      <c r="D469" t="str">
        <f t="shared" si="22"/>
        <v>"US91087BBK52"</v>
      </c>
      <c r="E469" t="str">
        <f t="shared" si="23"/>
        <v>"MEX 5 3/8 03/22/33": "US91087BBK52"</v>
      </c>
    </row>
    <row r="470" spans="1:5" x14ac:dyDescent="0.3">
      <c r="A470" t="s">
        <v>763</v>
      </c>
      <c r="B470" t="s">
        <v>762</v>
      </c>
      <c r="C470" t="str">
        <f t="shared" si="21"/>
        <v>"MEX 5 5/8 09/22/35"</v>
      </c>
      <c r="D470" t="str">
        <f t="shared" si="22"/>
        <v>"US91087BBL36"</v>
      </c>
      <c r="E470" t="str">
        <f t="shared" si="23"/>
        <v>"MEX 5 5/8 09/22/35": "US91087BBL36"</v>
      </c>
    </row>
    <row r="471" spans="1:5" x14ac:dyDescent="0.3">
      <c r="A471" t="s">
        <v>765</v>
      </c>
      <c r="B471" t="s">
        <v>764</v>
      </c>
      <c r="C471" t="str">
        <f t="shared" si="21"/>
        <v>"ADGB 4 1/4 10/02/35"</v>
      </c>
      <c r="D471" t="str">
        <f t="shared" si="22"/>
        <v>"US29135LAW00"</v>
      </c>
      <c r="E471" t="str">
        <f t="shared" si="23"/>
        <v>"ADGB 4 1/4 10/02/35": "US29135LAW00"</v>
      </c>
    </row>
    <row r="472" spans="1:5" x14ac:dyDescent="0.3">
      <c r="A472" t="s">
        <v>765</v>
      </c>
      <c r="B472" t="s">
        <v>766</v>
      </c>
      <c r="C472" t="str">
        <f t="shared" si="21"/>
        <v>"ADGB 4 1/4 10/02/35"</v>
      </c>
      <c r="D472" t="str">
        <f t="shared" si="22"/>
        <v>"XS3195078681"</v>
      </c>
      <c r="E472" t="str">
        <f t="shared" si="23"/>
        <v>"ADGB 4 1/4 10/02/35": "XS3195078681"</v>
      </c>
    </row>
    <row r="473" spans="1:5" x14ac:dyDescent="0.3">
      <c r="A473" t="s">
        <v>768</v>
      </c>
      <c r="B473" t="s">
        <v>767</v>
      </c>
      <c r="C473" t="str">
        <f t="shared" si="21"/>
        <v>"ADGB 3 5/8 10/02/28"</v>
      </c>
      <c r="D473" t="str">
        <f t="shared" si="22"/>
        <v>"US29135LAV27"</v>
      </c>
      <c r="E473" t="str">
        <f t="shared" si="23"/>
        <v>"ADGB 3 5/8 10/02/28": "US29135LAV27"</v>
      </c>
    </row>
    <row r="474" spans="1:5" x14ac:dyDescent="0.3">
      <c r="A474" t="s">
        <v>768</v>
      </c>
      <c r="B474" t="s">
        <v>769</v>
      </c>
      <c r="C474" t="str">
        <f t="shared" si="21"/>
        <v>"ADGB 3 5/8 10/02/28"</v>
      </c>
      <c r="D474" t="str">
        <f t="shared" si="22"/>
        <v>"XS3195078509"</v>
      </c>
      <c r="E474" t="str">
        <f t="shared" si="23"/>
        <v>"ADGB 3 5/8 10/02/28": "XS3195078509"</v>
      </c>
    </row>
    <row r="475" spans="1:5" x14ac:dyDescent="0.3">
      <c r="A475" t="s">
        <v>771</v>
      </c>
      <c r="B475" t="s">
        <v>770</v>
      </c>
      <c r="C475" t="str">
        <f t="shared" si="21"/>
        <v>"MUBAUH 4 5/8 10/16/35"</v>
      </c>
      <c r="D475" t="str">
        <f t="shared" si="22"/>
        <v>"US55285GAF19"</v>
      </c>
      <c r="E475" t="str">
        <f t="shared" si="23"/>
        <v>"MUBAUH 4 5/8 10/16/35": "US55285GAF19"</v>
      </c>
    </row>
    <row r="476" spans="1:5" x14ac:dyDescent="0.3">
      <c r="A476" t="s">
        <v>771</v>
      </c>
      <c r="B476" t="s">
        <v>772</v>
      </c>
      <c r="C476" t="str">
        <f t="shared" si="21"/>
        <v>"MUBAUH 4 5/8 10/16/35"</v>
      </c>
      <c r="D476" t="str">
        <f t="shared" si="22"/>
        <v>"XS3192951781"</v>
      </c>
      <c r="E476" t="str">
        <f t="shared" si="23"/>
        <v>"MUBAUH 4 5/8 10/16/35": "XS3192951781"</v>
      </c>
    </row>
    <row r="477" spans="1:5" x14ac:dyDescent="0.3">
      <c r="A477" t="s">
        <v>774</v>
      </c>
      <c r="B477" t="s">
        <v>773</v>
      </c>
      <c r="C477" t="str">
        <f t="shared" si="21"/>
        <v>"PIFKSA 5 09/15/35"</v>
      </c>
      <c r="D477" t="str">
        <f t="shared" si="22"/>
        <v>"XS3181494538"</v>
      </c>
      <c r="E477" t="str">
        <f t="shared" si="23"/>
        <v>"PIFKSA 5 09/15/35": "XS3181494538"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CE696-0FA8-48E2-91BF-79B77A9BB39B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Vasu Sharma</dc:creator>
  <cp:lastModifiedBy>Vasu Sharma</cp:lastModifiedBy>
  <dcterms:created xsi:type="dcterms:W3CDTF">2015-06-05T18:17:20Z</dcterms:created>
  <dcterms:modified xsi:type="dcterms:W3CDTF">2025-12-04T20:05:46Z</dcterms:modified>
</cp:coreProperties>
</file>